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汇总表" sheetId="2" state="visible" r:id="rId2"/>
    <sheet xmlns:r="http://schemas.openxmlformats.org/officeDocument/2006/relationships" name="性能明细" sheetId="3" state="visible" r:id="rId3"/>
    <sheet xmlns:r="http://schemas.openxmlformats.org/officeDocument/2006/relationships" name="兼容性明细" sheetId="4" state="visible" r:id="rId4"/>
    <sheet xmlns:r="http://schemas.openxmlformats.org/officeDocument/2006/relationships" name="质量明细" sheetId="5" state="visible" r:id="rId5"/>
    <sheet xmlns:r="http://schemas.openxmlformats.org/officeDocument/2006/relationships" name="长上下文明细" sheetId="6" state="visible" r:id="rId6"/>
    <sheet xmlns:r="http://schemas.openxmlformats.org/officeDocument/2006/relationships" name="评分模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多渠道模型测试报告（模板）</t>
        </is>
      </c>
    </row>
    <row r="2">
      <c r="A2" s="2" t="inlineStr">
        <is>
          <t>用途</t>
        </is>
      </c>
      <c r="B2" s="3" t="inlineStr">
        <is>
          <t>统一对比“同一模型 × 不同渠道”的服务能力。汇总表与评分模型的公式自动从四张明细表取值。</t>
        </is>
      </c>
    </row>
    <row r="3">
      <c r="A3" s="2" t="inlineStr">
        <is>
          <t>1. 明细表</t>
        </is>
      </c>
      <c r="B3" s="3" t="inlineStr">
        <is>
          <t>性能明细：TTFT/速度/E2E/推理tokens/缓存tokens/chunk分布；错误行只填“错误类型/错误详情”，其余留空（公式自动排除）。
兼容性明细：结果填 通过/失败，失败表现记录具体现象（未返回 tool_calls、输出非 JSON 等）。
质量明细：来自 HuggingFace（GSM8K/TruthfulQA）的判分结果。
长上下文明细：检索成功填 是/否/跳过。</t>
        </is>
      </c>
    </row>
    <row r="4">
      <c r="A4" s="2" t="inlineStr">
        <is>
          <t>2. 汇总表</t>
        </is>
      </c>
      <c r="B4" s="3" t="inlineStr">
        <is>
          <t>TTFT均值/速度/E2E/错误率/兼容率/质量正确率/检索率均为公式；TTFT P50/P95 由 export_report.py 计算写入。</t>
        </is>
      </c>
    </row>
    <row r="5">
      <c r="A5" s="2" t="inlineStr">
        <is>
          <t>3. 评分模型</t>
        </is>
      </c>
      <c r="B5" s="3" t="inlineStr">
        <is>
          <t>性能得分=平均(TTFT,速度,E2E 得分)；兼容得分=通过率×100；质量得分=正确率×100；长上下文得分=检索率×100；
总评分=性能×0.3+兼容×0.2+质量×0.3+长上下文×0.2（权重在评分模型表 L2:M5 可改）。</t>
        </is>
      </c>
    </row>
    <row r="6">
      <c r="A6" s="2" t="inlineStr">
        <is>
          <t>注意</t>
        </is>
      </c>
      <c r="B6" s="3" t="inlineStr">
        <is>
          <t>模板预填了两条示例渠道数据用于演示公式，正式使用请用 export_report.py 回填真实结果。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3" customWidth="1" min="10" max="10"/>
    <col width="28" customWidth="1" min="11" max="11"/>
  </cols>
  <sheetData>
    <row r="1">
      <c r="A1" s="4" t="inlineStr">
        <is>
          <t>模型@渠道</t>
        </is>
      </c>
      <c r="B1" s="4" t="inlineStr">
        <is>
          <t>TTFT均值(ms)</t>
        </is>
      </c>
      <c r="C1" s="4" t="inlineStr">
        <is>
          <t>TTFT P50(ms)</t>
        </is>
      </c>
      <c r="D1" s="4" t="inlineStr">
        <is>
          <t>TTFT P95(ms)</t>
        </is>
      </c>
      <c r="E1" s="4" t="inlineStr">
        <is>
          <t>速度均值(tok/s)</t>
        </is>
      </c>
      <c r="F1" s="4" t="inlineStr">
        <is>
          <t>E2E均值(ms)</t>
        </is>
      </c>
      <c r="G1" s="4" t="inlineStr">
        <is>
          <t>错误率(%)</t>
        </is>
      </c>
      <c r="H1" s="4" t="inlineStr">
        <is>
          <t>兼容通过率(%)</t>
        </is>
      </c>
      <c r="I1" s="4" t="inlineStr">
        <is>
          <t>质量正确率(%)</t>
        </is>
      </c>
      <c r="J1" s="4" t="inlineStr">
        <is>
          <t>长上下文检索率(%)</t>
        </is>
      </c>
      <c r="K1" s="4" t="inlineStr">
        <is>
          <t>备注</t>
        </is>
      </c>
    </row>
    <row r="2">
      <c r="A2" t="inlineStr">
        <is>
          <t>EasyRouter(示例)</t>
        </is>
      </c>
      <c r="B2" s="5">
        <f>IFERROR(ROUND(AVERAGEIFS(性能明细!$D$2:$D$2000,性能明细!$C$2:$C$2000,$A2,性能明细!$O$2:$O$2000,""),1),"")</f>
        <v/>
      </c>
      <c r="C2" s="5" t="n"/>
      <c r="D2" s="5" t="n"/>
      <c r="E2" s="6">
        <f>IFERROR(ROUND(AVERAGEIFS(性能明细!$I$2:$I$2000,性能明细!$C$2:$C$2000,$A2,性能明细!$O$2:$O$2000,""),2),"")</f>
        <v/>
      </c>
      <c r="F2" s="5">
        <f>IFERROR(ROUND(AVERAGEIFS(性能明细!$F$2:$F$2000,性能明细!$C$2:$C$2000,$A2,性能明细!$O$2:$O$2000,""),1),"")</f>
        <v/>
      </c>
      <c r="G2" s="5">
        <f>IFERROR(ROUND(COUNTIFS(性能明细!$C$2:$C$2000,$A2,性能明细!$O$2:$O$2000,"error")/COUNTIF(性能明细!$C$2:$C$2000,$A2)*100,1),"")</f>
        <v/>
      </c>
      <c r="H2" s="5">
        <f>IFERROR(ROUND(COUNTIFS(兼容性明细!$C$2:$C$2000,$A2,兼容性明细!$D$2:$D$2000,"通过")/COUNTIF(兼容性明细!$C$2:$C$2000,$A2)*100,1),"")</f>
        <v/>
      </c>
      <c r="I2" s="5">
        <f>IFERROR(ROUND(COUNTIFS(质量明细!$C$2:$C$2000,$A2,质量明细!$D$2:$D$2000,"通过")/COUNTIF(质量明细!$C$2:$C$2000,$A2)*100,1),"")</f>
        <v/>
      </c>
      <c r="J2" s="5">
        <f>IFERROR(ROUND(COUNTIFS(长上下文明细!$B$2:$B$2000,$A2,长上下文明细!$D$2:$D$2000,"是")/COUNTIFS(长上下文明细!$B$2:$B$2000,$A2,长上下文明细!$D$2:$D$2000,"&lt;&gt;跳过")*100,1),"")</f>
        <v/>
      </c>
    </row>
    <row r="3">
      <c r="A3" t="inlineStr">
        <is>
          <t>Mayi(示例)</t>
        </is>
      </c>
      <c r="B3" s="5">
        <f>IFERROR(ROUND(AVERAGEIFS(性能明细!$D$2:$D$2000,性能明细!$C$2:$C$2000,$A3,性能明细!$O$2:$O$2000,""),1),"")</f>
        <v/>
      </c>
      <c r="C3" s="5" t="n"/>
      <c r="D3" s="5" t="n"/>
      <c r="E3" s="6">
        <f>IFERROR(ROUND(AVERAGEIFS(性能明细!$I$2:$I$2000,性能明细!$C$2:$C$2000,$A3,性能明细!$O$2:$O$2000,""),2),"")</f>
        <v/>
      </c>
      <c r="F3" s="5">
        <f>IFERROR(ROUND(AVERAGEIFS(性能明细!$F$2:$F$2000,性能明细!$C$2:$C$2000,$A3,性能明细!$O$2:$O$2000,""),1),"")</f>
        <v/>
      </c>
      <c r="G3" s="5">
        <f>IFERROR(ROUND(COUNTIFS(性能明细!$C$2:$C$2000,$A3,性能明细!$O$2:$O$2000,"error")/COUNTIF(性能明细!$C$2:$C$2000,$A3)*100,1),"")</f>
        <v/>
      </c>
      <c r="H3" s="5">
        <f>IFERROR(ROUND(COUNTIFS(兼容性明细!$C$2:$C$2000,$A3,兼容性明细!$D$2:$D$2000,"通过")/COUNTIF(兼容性明细!$C$2:$C$2000,$A3)*100,1),"")</f>
        <v/>
      </c>
      <c r="I3" s="5">
        <f>IFERROR(ROUND(COUNTIFS(质量明细!$C$2:$C$2000,$A3,质量明细!$D$2:$D$2000,"通过")/COUNTIF(质量明细!$C$2:$C$2000,$A3)*100,1),"")</f>
        <v/>
      </c>
      <c r="J3" s="5">
        <f>IFERROR(ROUND(COUNTIFS(长上下文明细!$B$2:$B$2000,$A3,长上下文明细!$D$2:$D$2000,"是")/COUNTIFS(长上下文明细!$B$2:$B$2000,$A3,长上下文明细!$D$2:$D$2000,"&lt;&gt;跳过")*100,1),"")</f>
        <v/>
      </c>
    </row>
    <row r="4">
      <c r="B4" s="5">
        <f>IFERROR(ROUND(AVERAGEIFS(性能明细!$D$2:$D$2000,性能明细!$C$2:$C$2000,$A4,性能明细!$O$2:$O$2000,""),1),"")</f>
        <v/>
      </c>
      <c r="C4" s="5" t="n"/>
      <c r="D4" s="5" t="n"/>
      <c r="E4" s="6">
        <f>IFERROR(ROUND(AVERAGEIFS(性能明细!$I$2:$I$2000,性能明细!$C$2:$C$2000,$A4,性能明细!$O$2:$O$2000,""),2),"")</f>
        <v/>
      </c>
      <c r="F4" s="5">
        <f>IFERROR(ROUND(AVERAGEIFS(性能明细!$F$2:$F$2000,性能明细!$C$2:$C$2000,$A4,性能明细!$O$2:$O$2000,""),1),"")</f>
        <v/>
      </c>
      <c r="G4" s="5">
        <f>IFERROR(ROUND(COUNTIFS(性能明细!$C$2:$C$2000,$A4,性能明细!$O$2:$O$2000,"error")/COUNTIF(性能明细!$C$2:$C$2000,$A4)*100,1),"")</f>
        <v/>
      </c>
      <c r="H4" s="5">
        <f>IFERROR(ROUND(COUNTIFS(兼容性明细!$C$2:$C$2000,$A4,兼容性明细!$D$2:$D$2000,"通过")/COUNTIF(兼容性明细!$C$2:$C$2000,$A4)*100,1),"")</f>
        <v/>
      </c>
      <c r="I4" s="5">
        <f>IFERROR(ROUND(COUNTIFS(质量明细!$C$2:$C$2000,$A4,质量明细!$D$2:$D$2000,"通过")/COUNTIF(质量明细!$C$2:$C$2000,$A4)*100,1),"")</f>
        <v/>
      </c>
      <c r="J4" s="5">
        <f>IFERROR(ROUND(COUNTIFS(长上下文明细!$B$2:$B$2000,$A4,长上下文明细!$D$2:$D$2000,"是")/COUNTIFS(长上下文明细!$B$2:$B$2000,$A4,长上下文明细!$D$2:$D$2000,"&lt;&gt;跳过")*100,1),"")</f>
        <v/>
      </c>
    </row>
    <row r="5">
      <c r="B5" s="5">
        <f>IFERROR(ROUND(AVERAGEIFS(性能明细!$D$2:$D$2000,性能明细!$C$2:$C$2000,$A5,性能明细!$O$2:$O$2000,""),1),"")</f>
        <v/>
      </c>
      <c r="C5" s="5" t="n"/>
      <c r="D5" s="5" t="n"/>
      <c r="E5" s="6">
        <f>IFERROR(ROUND(AVERAGEIFS(性能明细!$I$2:$I$2000,性能明细!$C$2:$C$2000,$A5,性能明细!$O$2:$O$2000,""),2),"")</f>
        <v/>
      </c>
      <c r="F5" s="5">
        <f>IFERROR(ROUND(AVERAGEIFS(性能明细!$F$2:$F$2000,性能明细!$C$2:$C$2000,$A5,性能明细!$O$2:$O$2000,""),1),"")</f>
        <v/>
      </c>
      <c r="G5" s="5">
        <f>IFERROR(ROUND(COUNTIFS(性能明细!$C$2:$C$2000,$A5,性能明细!$O$2:$O$2000,"error")/COUNTIF(性能明细!$C$2:$C$2000,$A5)*100,1),"")</f>
        <v/>
      </c>
      <c r="H5" s="5">
        <f>IFERROR(ROUND(COUNTIFS(兼容性明细!$C$2:$C$2000,$A5,兼容性明细!$D$2:$D$2000,"通过")/COUNTIF(兼容性明细!$C$2:$C$2000,$A5)*100,1),"")</f>
        <v/>
      </c>
      <c r="I5" s="5">
        <f>IFERROR(ROUND(COUNTIFS(质量明细!$C$2:$C$2000,$A5,质量明细!$D$2:$D$2000,"通过")/COUNTIF(质量明细!$C$2:$C$2000,$A5)*100,1),"")</f>
        <v/>
      </c>
      <c r="J5" s="5">
        <f>IFERROR(ROUND(COUNTIFS(长上下文明细!$B$2:$B$2000,$A5,长上下文明细!$D$2:$D$2000,"是")/COUNTIFS(长上下文明细!$B$2:$B$2000,$A5,长上下文明细!$D$2:$D$2000,"&lt;&gt;跳过")*100,1),"")</f>
        <v/>
      </c>
    </row>
    <row r="6">
      <c r="B6" s="5">
        <f>IFERROR(ROUND(AVERAGEIFS(性能明细!$D$2:$D$2000,性能明细!$C$2:$C$2000,$A6,性能明细!$O$2:$O$2000,""),1),"")</f>
        <v/>
      </c>
      <c r="C6" s="5" t="n"/>
      <c r="D6" s="5" t="n"/>
      <c r="E6" s="6">
        <f>IFERROR(ROUND(AVERAGEIFS(性能明细!$I$2:$I$2000,性能明细!$C$2:$C$2000,$A6,性能明细!$O$2:$O$2000,""),2),"")</f>
        <v/>
      </c>
      <c r="F6" s="5">
        <f>IFERROR(ROUND(AVERAGEIFS(性能明细!$F$2:$F$2000,性能明细!$C$2:$C$2000,$A6,性能明细!$O$2:$O$2000,""),1),"")</f>
        <v/>
      </c>
      <c r="G6" s="5">
        <f>IFERROR(ROUND(COUNTIFS(性能明细!$C$2:$C$2000,$A6,性能明细!$O$2:$O$2000,"error")/COUNTIF(性能明细!$C$2:$C$2000,$A6)*100,1),"")</f>
        <v/>
      </c>
      <c r="H6" s="5">
        <f>IFERROR(ROUND(COUNTIFS(兼容性明细!$C$2:$C$2000,$A6,兼容性明细!$D$2:$D$2000,"通过")/COUNTIF(兼容性明细!$C$2:$C$2000,$A6)*100,1),"")</f>
        <v/>
      </c>
      <c r="I6" s="5">
        <f>IFERROR(ROUND(COUNTIFS(质量明细!$C$2:$C$2000,$A6,质量明细!$D$2:$D$2000,"通过")/COUNTIF(质量明细!$C$2:$C$2000,$A6)*100,1),"")</f>
        <v/>
      </c>
      <c r="J6" s="5">
        <f>IFERROR(ROUND(COUNTIFS(长上下文明细!$B$2:$B$2000,$A6,长上下文明细!$D$2:$D$2000,"是")/COUNTIFS(长上下文明细!$B$2:$B$2000,$A6,长上下文明细!$D$2:$D$2000,"&lt;&gt;跳过")*100,1),"")</f>
        <v/>
      </c>
    </row>
    <row r="7">
      <c r="B7" s="5">
        <f>IFERROR(ROUND(AVERAGEIFS(性能明细!$D$2:$D$2000,性能明细!$C$2:$C$2000,$A7,性能明细!$O$2:$O$2000,""),1),"")</f>
        <v/>
      </c>
      <c r="C7" s="5" t="n"/>
      <c r="D7" s="5" t="n"/>
      <c r="E7" s="6">
        <f>IFERROR(ROUND(AVERAGEIFS(性能明细!$I$2:$I$2000,性能明细!$C$2:$C$2000,$A7,性能明细!$O$2:$O$2000,""),2),"")</f>
        <v/>
      </c>
      <c r="F7" s="5">
        <f>IFERROR(ROUND(AVERAGEIFS(性能明细!$F$2:$F$2000,性能明细!$C$2:$C$2000,$A7,性能明细!$O$2:$O$2000,""),1),"")</f>
        <v/>
      </c>
      <c r="G7" s="5">
        <f>IFERROR(ROUND(COUNTIFS(性能明细!$C$2:$C$2000,$A7,性能明细!$O$2:$O$2000,"error")/COUNTIF(性能明细!$C$2:$C$2000,$A7)*100,1),"")</f>
        <v/>
      </c>
      <c r="H7" s="5">
        <f>IFERROR(ROUND(COUNTIFS(兼容性明细!$C$2:$C$2000,$A7,兼容性明细!$D$2:$D$2000,"通过")/COUNTIF(兼容性明细!$C$2:$C$2000,$A7)*100,1),"")</f>
        <v/>
      </c>
      <c r="I7" s="5">
        <f>IFERROR(ROUND(COUNTIFS(质量明细!$C$2:$C$2000,$A7,质量明细!$D$2:$D$2000,"通过")/COUNTIF(质量明细!$C$2:$C$2000,$A7)*100,1),"")</f>
        <v/>
      </c>
      <c r="J7" s="5">
        <f>IFERROR(ROUND(COUNTIFS(长上下文明细!$B$2:$B$2000,$A7,长上下文明细!$D$2:$D$2000,"是")/COUNTIFS(长上下文明细!$B$2:$B$2000,$A7,长上下文明细!$D$2:$D$2000,"&lt;&gt;跳过")*100,1),"")</f>
        <v/>
      </c>
    </row>
    <row r="8">
      <c r="B8" s="5">
        <f>IFERROR(ROUND(AVERAGEIFS(性能明细!$D$2:$D$2000,性能明细!$C$2:$C$2000,$A8,性能明细!$O$2:$O$2000,""),1),"")</f>
        <v/>
      </c>
      <c r="C8" s="5" t="n"/>
      <c r="D8" s="5" t="n"/>
      <c r="E8" s="6">
        <f>IFERROR(ROUND(AVERAGEIFS(性能明细!$I$2:$I$2000,性能明细!$C$2:$C$2000,$A8,性能明细!$O$2:$O$2000,""),2),"")</f>
        <v/>
      </c>
      <c r="F8" s="5">
        <f>IFERROR(ROUND(AVERAGEIFS(性能明细!$F$2:$F$2000,性能明细!$C$2:$C$2000,$A8,性能明细!$O$2:$O$2000,""),1),"")</f>
        <v/>
      </c>
      <c r="G8" s="5">
        <f>IFERROR(ROUND(COUNTIFS(性能明细!$C$2:$C$2000,$A8,性能明细!$O$2:$O$2000,"error")/COUNTIF(性能明细!$C$2:$C$2000,$A8)*100,1),"")</f>
        <v/>
      </c>
      <c r="H8" s="5">
        <f>IFERROR(ROUND(COUNTIFS(兼容性明细!$C$2:$C$2000,$A8,兼容性明细!$D$2:$D$2000,"通过")/COUNTIF(兼容性明细!$C$2:$C$2000,$A8)*100,1),"")</f>
        <v/>
      </c>
      <c r="I8" s="5">
        <f>IFERROR(ROUND(COUNTIFS(质量明细!$C$2:$C$2000,$A8,质量明细!$D$2:$D$2000,"通过")/COUNTIF(质量明细!$C$2:$C$2000,$A8)*100,1),"")</f>
        <v/>
      </c>
      <c r="J8" s="5">
        <f>IFERROR(ROUND(COUNTIFS(长上下文明细!$B$2:$B$2000,$A8,长上下文明细!$D$2:$D$2000,"是")/COUNTIFS(长上下文明细!$B$2:$B$2000,$A8,长上下文明细!$D$2:$D$2000,"&lt;&gt;跳过")*100,1),"")</f>
        <v/>
      </c>
    </row>
    <row r="9">
      <c r="B9" s="5">
        <f>IFERROR(ROUND(AVERAGEIFS(性能明细!$D$2:$D$2000,性能明细!$C$2:$C$2000,$A9,性能明细!$O$2:$O$2000,""),1),"")</f>
        <v/>
      </c>
      <c r="C9" s="5" t="n"/>
      <c r="D9" s="5" t="n"/>
      <c r="E9" s="6">
        <f>IFERROR(ROUND(AVERAGEIFS(性能明细!$I$2:$I$2000,性能明细!$C$2:$C$2000,$A9,性能明细!$O$2:$O$2000,""),2),"")</f>
        <v/>
      </c>
      <c r="F9" s="5">
        <f>IFERROR(ROUND(AVERAGEIFS(性能明细!$F$2:$F$2000,性能明细!$C$2:$C$2000,$A9,性能明细!$O$2:$O$2000,""),1),"")</f>
        <v/>
      </c>
      <c r="G9" s="5">
        <f>IFERROR(ROUND(COUNTIFS(性能明细!$C$2:$C$2000,$A9,性能明细!$O$2:$O$2000,"error")/COUNTIF(性能明细!$C$2:$C$2000,$A9)*100,1),"")</f>
        <v/>
      </c>
      <c r="H9" s="5">
        <f>IFERROR(ROUND(COUNTIFS(兼容性明细!$C$2:$C$2000,$A9,兼容性明细!$D$2:$D$2000,"通过")/COUNTIF(兼容性明细!$C$2:$C$2000,$A9)*100,1),"")</f>
        <v/>
      </c>
      <c r="I9" s="5">
        <f>IFERROR(ROUND(COUNTIFS(质量明细!$C$2:$C$2000,$A9,质量明细!$D$2:$D$2000,"通过")/COUNTIF(质量明细!$C$2:$C$2000,$A9)*100,1),"")</f>
        <v/>
      </c>
      <c r="J9" s="5">
        <f>IFERROR(ROUND(COUNTIFS(长上下文明细!$B$2:$B$2000,$A9,长上下文明细!$D$2:$D$2000,"是")/COUNTIFS(长上下文明细!$B$2:$B$2000,$A9,长上下文明细!$D$2:$D$2000,"&lt;&gt;跳过")*100,1),"")</f>
        <v/>
      </c>
    </row>
    <row r="10">
      <c r="B10" s="5">
        <f>IFERROR(ROUND(AVERAGEIFS(性能明细!$D$2:$D$2000,性能明细!$C$2:$C$2000,$A10,性能明细!$O$2:$O$2000,""),1),"")</f>
        <v/>
      </c>
      <c r="C10" s="5" t="n"/>
      <c r="D10" s="5" t="n"/>
      <c r="E10" s="6">
        <f>IFERROR(ROUND(AVERAGEIFS(性能明细!$I$2:$I$2000,性能明细!$C$2:$C$2000,$A10,性能明细!$O$2:$O$2000,""),2),"")</f>
        <v/>
      </c>
      <c r="F10" s="5">
        <f>IFERROR(ROUND(AVERAGEIFS(性能明细!$F$2:$F$2000,性能明细!$C$2:$C$2000,$A10,性能明细!$O$2:$O$2000,""),1),"")</f>
        <v/>
      </c>
      <c r="G10" s="5">
        <f>IFERROR(ROUND(COUNTIFS(性能明细!$C$2:$C$2000,$A10,性能明细!$O$2:$O$2000,"error")/COUNTIF(性能明细!$C$2:$C$2000,$A10)*100,1),"")</f>
        <v/>
      </c>
      <c r="H10" s="5">
        <f>IFERROR(ROUND(COUNTIFS(兼容性明细!$C$2:$C$2000,$A10,兼容性明细!$D$2:$D$2000,"通过")/COUNTIF(兼容性明细!$C$2:$C$2000,$A10)*100,1),"")</f>
        <v/>
      </c>
      <c r="I10" s="5">
        <f>IFERROR(ROUND(COUNTIFS(质量明细!$C$2:$C$2000,$A10,质量明细!$D$2:$D$2000,"通过")/COUNTIF(质量明细!$C$2:$C$2000,$A10)*100,1),"")</f>
        <v/>
      </c>
      <c r="J10" s="5">
        <f>IFERROR(ROUND(COUNTIFS(长上下文明细!$B$2:$B$2000,$A10,长上下文明细!$D$2:$D$2000,"是")/COUNTIFS(长上下文明细!$B$2:$B$2000,$A10,长上下文明细!$D$2:$D$2000,"&lt;&gt;跳过")*100,1),"")</f>
        <v/>
      </c>
    </row>
    <row r="11">
      <c r="B11" s="5">
        <f>IFERROR(ROUND(AVERAGEIFS(性能明细!$D$2:$D$2000,性能明细!$C$2:$C$2000,$A11,性能明细!$O$2:$O$2000,""),1),"")</f>
        <v/>
      </c>
      <c r="C11" s="5" t="n"/>
      <c r="D11" s="5" t="n"/>
      <c r="E11" s="6">
        <f>IFERROR(ROUND(AVERAGEIFS(性能明细!$I$2:$I$2000,性能明细!$C$2:$C$2000,$A11,性能明细!$O$2:$O$2000,""),2),"")</f>
        <v/>
      </c>
      <c r="F11" s="5">
        <f>IFERROR(ROUND(AVERAGEIFS(性能明细!$F$2:$F$2000,性能明细!$C$2:$C$2000,$A11,性能明细!$O$2:$O$2000,""),1),"")</f>
        <v/>
      </c>
      <c r="G11" s="5">
        <f>IFERROR(ROUND(COUNTIFS(性能明细!$C$2:$C$2000,$A11,性能明细!$O$2:$O$2000,"error")/COUNTIF(性能明细!$C$2:$C$2000,$A11)*100,1),"")</f>
        <v/>
      </c>
      <c r="H11" s="5">
        <f>IFERROR(ROUND(COUNTIFS(兼容性明细!$C$2:$C$2000,$A11,兼容性明细!$D$2:$D$2000,"通过")/COUNTIF(兼容性明细!$C$2:$C$2000,$A11)*100,1),"")</f>
        <v/>
      </c>
      <c r="I11" s="5">
        <f>IFERROR(ROUND(COUNTIFS(质量明细!$C$2:$C$2000,$A11,质量明细!$D$2:$D$2000,"通过")/COUNTIF(质量明细!$C$2:$C$2000,$A11)*100,1),"")</f>
        <v/>
      </c>
      <c r="J11" s="5">
        <f>IFERROR(ROUND(COUNTIFS(长上下文明细!$B$2:$B$2000,$A11,长上下文明细!$D$2:$D$2000,"是")/COUNTIFS(长上下文明细!$B$2:$B$2000,$A11,长上下文明细!$D$2:$D$2000,"&lt;&gt;跳过")*100,1),"")</f>
        <v/>
      </c>
    </row>
    <row r="12">
      <c r="B12" s="5">
        <f>IFERROR(ROUND(AVERAGEIFS(性能明细!$D$2:$D$2000,性能明细!$C$2:$C$2000,$A12,性能明细!$O$2:$O$2000,""),1),"")</f>
        <v/>
      </c>
      <c r="C12" s="5" t="n"/>
      <c r="D12" s="5" t="n"/>
      <c r="E12" s="6">
        <f>IFERROR(ROUND(AVERAGEIFS(性能明细!$I$2:$I$2000,性能明细!$C$2:$C$2000,$A12,性能明细!$O$2:$O$2000,""),2),"")</f>
        <v/>
      </c>
      <c r="F12" s="5">
        <f>IFERROR(ROUND(AVERAGEIFS(性能明细!$F$2:$F$2000,性能明细!$C$2:$C$2000,$A12,性能明细!$O$2:$O$2000,""),1),"")</f>
        <v/>
      </c>
      <c r="G12" s="5">
        <f>IFERROR(ROUND(COUNTIFS(性能明细!$C$2:$C$2000,$A12,性能明细!$O$2:$O$2000,"error")/COUNTIF(性能明细!$C$2:$C$2000,$A12)*100,1),"")</f>
        <v/>
      </c>
      <c r="H12" s="5">
        <f>IFERROR(ROUND(COUNTIFS(兼容性明细!$C$2:$C$2000,$A12,兼容性明细!$D$2:$D$2000,"通过")/COUNTIF(兼容性明细!$C$2:$C$2000,$A12)*100,1),"")</f>
        <v/>
      </c>
      <c r="I12" s="5">
        <f>IFERROR(ROUND(COUNTIFS(质量明细!$C$2:$C$2000,$A12,质量明细!$D$2:$D$2000,"通过")/COUNTIF(质量明细!$C$2:$C$2000,$A12)*100,1),"")</f>
        <v/>
      </c>
      <c r="J12" s="5">
        <f>IFERROR(ROUND(COUNTIFS(长上下文明细!$B$2:$B$2000,$A12,长上下文明细!$D$2:$D$2000,"是")/COUNTIFS(长上下文明细!$B$2:$B$2000,$A12,长上下文明细!$D$2:$D$2000,"&lt;&gt;跳过")*100,1),"")</f>
        <v/>
      </c>
    </row>
    <row r="13">
      <c r="B13" s="5">
        <f>IFERROR(ROUND(AVERAGEIFS(性能明细!$D$2:$D$2000,性能明细!$C$2:$C$2000,$A13,性能明细!$O$2:$O$2000,""),1),"")</f>
        <v/>
      </c>
      <c r="C13" s="5" t="n"/>
      <c r="D13" s="5" t="n"/>
      <c r="E13" s="6">
        <f>IFERROR(ROUND(AVERAGEIFS(性能明细!$I$2:$I$2000,性能明细!$C$2:$C$2000,$A13,性能明细!$O$2:$O$2000,""),2),"")</f>
        <v/>
      </c>
      <c r="F13" s="5">
        <f>IFERROR(ROUND(AVERAGEIFS(性能明细!$F$2:$F$2000,性能明细!$C$2:$C$2000,$A13,性能明细!$O$2:$O$2000,""),1),"")</f>
        <v/>
      </c>
      <c r="G13" s="5">
        <f>IFERROR(ROUND(COUNTIFS(性能明细!$C$2:$C$2000,$A13,性能明细!$O$2:$O$2000,"error")/COUNTIF(性能明细!$C$2:$C$2000,$A13)*100,1),"")</f>
        <v/>
      </c>
      <c r="H13" s="5">
        <f>IFERROR(ROUND(COUNTIFS(兼容性明细!$C$2:$C$2000,$A13,兼容性明细!$D$2:$D$2000,"通过")/COUNTIF(兼容性明细!$C$2:$C$2000,$A13)*100,1),"")</f>
        <v/>
      </c>
      <c r="I13" s="5">
        <f>IFERROR(ROUND(COUNTIFS(质量明细!$C$2:$C$2000,$A13,质量明细!$D$2:$D$2000,"通过")/COUNTIF(质量明细!$C$2:$C$2000,$A13)*100,1),"")</f>
        <v/>
      </c>
      <c r="J13" s="5">
        <f>IFERROR(ROUND(COUNTIFS(长上下文明细!$B$2:$B$2000,$A13,长上下文明细!$D$2:$D$2000,"是")/COUNTIFS(长上下文明细!$B$2:$B$2000,$A13,长上下文明细!$D$2:$D$2000,"&lt;&gt;跳过")*100,1),"")</f>
        <v/>
      </c>
    </row>
    <row r="14">
      <c r="B14" s="5">
        <f>IFERROR(ROUND(AVERAGEIFS(性能明细!$D$2:$D$2000,性能明细!$C$2:$C$2000,$A14,性能明细!$O$2:$O$2000,""),1),"")</f>
        <v/>
      </c>
      <c r="C14" s="5" t="n"/>
      <c r="D14" s="5" t="n"/>
      <c r="E14" s="6">
        <f>IFERROR(ROUND(AVERAGEIFS(性能明细!$I$2:$I$2000,性能明细!$C$2:$C$2000,$A14,性能明细!$O$2:$O$2000,""),2),"")</f>
        <v/>
      </c>
      <c r="F14" s="5">
        <f>IFERROR(ROUND(AVERAGEIFS(性能明细!$F$2:$F$2000,性能明细!$C$2:$C$2000,$A14,性能明细!$O$2:$O$2000,""),1),"")</f>
        <v/>
      </c>
      <c r="G14" s="5">
        <f>IFERROR(ROUND(COUNTIFS(性能明细!$C$2:$C$2000,$A14,性能明细!$O$2:$O$2000,"error")/COUNTIF(性能明细!$C$2:$C$2000,$A14)*100,1),"")</f>
        <v/>
      </c>
      <c r="H14" s="5">
        <f>IFERROR(ROUND(COUNTIFS(兼容性明细!$C$2:$C$2000,$A14,兼容性明细!$D$2:$D$2000,"通过")/COUNTIF(兼容性明细!$C$2:$C$2000,$A14)*100,1),"")</f>
        <v/>
      </c>
      <c r="I14" s="5">
        <f>IFERROR(ROUND(COUNTIFS(质量明细!$C$2:$C$2000,$A14,质量明细!$D$2:$D$2000,"通过")/COUNTIF(质量明细!$C$2:$C$2000,$A14)*100,1),"")</f>
        <v/>
      </c>
      <c r="J14" s="5">
        <f>IFERROR(ROUND(COUNTIFS(长上下文明细!$B$2:$B$2000,$A14,长上下文明细!$D$2:$D$2000,"是")/COUNTIFS(长上下文明细!$B$2:$B$2000,$A14,长上下文明细!$D$2:$D$2000,"&lt;&gt;跳过")*100,1),"")</f>
        <v/>
      </c>
    </row>
    <row r="15">
      <c r="B15" s="5">
        <f>IFERROR(ROUND(AVERAGEIFS(性能明细!$D$2:$D$2000,性能明细!$C$2:$C$2000,$A15,性能明细!$O$2:$O$2000,""),1),"")</f>
        <v/>
      </c>
      <c r="C15" s="5" t="n"/>
      <c r="D15" s="5" t="n"/>
      <c r="E15" s="6">
        <f>IFERROR(ROUND(AVERAGEIFS(性能明细!$I$2:$I$2000,性能明细!$C$2:$C$2000,$A15,性能明细!$O$2:$O$2000,""),2),"")</f>
        <v/>
      </c>
      <c r="F15" s="5">
        <f>IFERROR(ROUND(AVERAGEIFS(性能明细!$F$2:$F$2000,性能明细!$C$2:$C$2000,$A15,性能明细!$O$2:$O$2000,""),1),"")</f>
        <v/>
      </c>
      <c r="G15" s="5">
        <f>IFERROR(ROUND(COUNTIFS(性能明细!$C$2:$C$2000,$A15,性能明细!$O$2:$O$2000,"error")/COUNTIF(性能明细!$C$2:$C$2000,$A15)*100,1),"")</f>
        <v/>
      </c>
      <c r="H15" s="5">
        <f>IFERROR(ROUND(COUNTIFS(兼容性明细!$C$2:$C$2000,$A15,兼容性明细!$D$2:$D$2000,"通过")/COUNTIF(兼容性明细!$C$2:$C$2000,$A15)*100,1),"")</f>
        <v/>
      </c>
      <c r="I15" s="5">
        <f>IFERROR(ROUND(COUNTIFS(质量明细!$C$2:$C$2000,$A15,质量明细!$D$2:$D$2000,"通过")/COUNTIF(质量明细!$C$2:$C$2000,$A15)*100,1),"")</f>
        <v/>
      </c>
      <c r="J15" s="5">
        <f>IFERROR(ROUND(COUNTIFS(长上下文明细!$B$2:$B$2000,$A15,长上下文明细!$D$2:$D$2000,"是")/COUNTIFS(长上下文明细!$B$2:$B$2000,$A15,长上下文明细!$D$2:$D$2000,"&lt;&gt;跳过")*100,1),"")</f>
        <v/>
      </c>
    </row>
    <row r="16">
      <c r="B16" s="5">
        <f>IFERROR(ROUND(AVERAGEIFS(性能明细!$D$2:$D$2000,性能明细!$C$2:$C$2000,$A16,性能明细!$O$2:$O$2000,""),1),"")</f>
        <v/>
      </c>
      <c r="C16" s="5" t="n"/>
      <c r="D16" s="5" t="n"/>
      <c r="E16" s="6">
        <f>IFERROR(ROUND(AVERAGEIFS(性能明细!$I$2:$I$2000,性能明细!$C$2:$C$2000,$A16,性能明细!$O$2:$O$2000,""),2),"")</f>
        <v/>
      </c>
      <c r="F16" s="5">
        <f>IFERROR(ROUND(AVERAGEIFS(性能明细!$F$2:$F$2000,性能明细!$C$2:$C$2000,$A16,性能明细!$O$2:$O$2000,""),1),"")</f>
        <v/>
      </c>
      <c r="G16" s="5">
        <f>IFERROR(ROUND(COUNTIFS(性能明细!$C$2:$C$2000,$A16,性能明细!$O$2:$O$2000,"error")/COUNTIF(性能明细!$C$2:$C$2000,$A16)*100,1),"")</f>
        <v/>
      </c>
      <c r="H16" s="5">
        <f>IFERROR(ROUND(COUNTIFS(兼容性明细!$C$2:$C$2000,$A16,兼容性明细!$D$2:$D$2000,"通过")/COUNTIF(兼容性明细!$C$2:$C$2000,$A16)*100,1),"")</f>
        <v/>
      </c>
      <c r="I16" s="5">
        <f>IFERROR(ROUND(COUNTIFS(质量明细!$C$2:$C$2000,$A16,质量明细!$D$2:$D$2000,"通过")/COUNTIF(质量明细!$C$2:$C$2000,$A16)*100,1),"")</f>
        <v/>
      </c>
      <c r="J16" s="5">
        <f>IFERROR(ROUND(COUNTIFS(长上下文明细!$B$2:$B$2000,$A16,长上下文明细!$D$2:$D$2000,"是")/COUNTIFS(长上下文明细!$B$2:$B$2000,$A16,长上下文明细!$D$2:$D$2000,"&lt;&gt;跳过")*100,1),"")</f>
        <v/>
      </c>
    </row>
    <row r="17">
      <c r="B17" s="5">
        <f>IFERROR(ROUND(AVERAGEIFS(性能明细!$D$2:$D$2000,性能明细!$C$2:$C$2000,$A17,性能明细!$O$2:$O$2000,""),1),"")</f>
        <v/>
      </c>
      <c r="C17" s="5" t="n"/>
      <c r="D17" s="5" t="n"/>
      <c r="E17" s="6">
        <f>IFERROR(ROUND(AVERAGEIFS(性能明细!$I$2:$I$2000,性能明细!$C$2:$C$2000,$A17,性能明细!$O$2:$O$2000,""),2),"")</f>
        <v/>
      </c>
      <c r="F17" s="5">
        <f>IFERROR(ROUND(AVERAGEIFS(性能明细!$F$2:$F$2000,性能明细!$C$2:$C$2000,$A17,性能明细!$O$2:$O$2000,""),1),"")</f>
        <v/>
      </c>
      <c r="G17" s="5">
        <f>IFERROR(ROUND(COUNTIFS(性能明细!$C$2:$C$2000,$A17,性能明细!$O$2:$O$2000,"error")/COUNTIF(性能明细!$C$2:$C$2000,$A17)*100,1),"")</f>
        <v/>
      </c>
      <c r="H17" s="5">
        <f>IFERROR(ROUND(COUNTIFS(兼容性明细!$C$2:$C$2000,$A17,兼容性明细!$D$2:$D$2000,"通过")/COUNTIF(兼容性明细!$C$2:$C$2000,$A17)*100,1),"")</f>
        <v/>
      </c>
      <c r="I17" s="5">
        <f>IFERROR(ROUND(COUNTIFS(质量明细!$C$2:$C$2000,$A17,质量明细!$D$2:$D$2000,"通过")/COUNTIF(质量明细!$C$2:$C$2000,$A17)*100,1),"")</f>
        <v/>
      </c>
      <c r="J17" s="5">
        <f>IFERROR(ROUND(COUNTIFS(长上下文明细!$B$2:$B$2000,$A17,长上下文明细!$D$2:$D$2000,"是")/COUNTIFS(长上下文明细!$B$2:$B$2000,$A17,长上下文明细!$D$2:$D$2000,"&lt;&gt;跳过")*100,1),"")</f>
        <v/>
      </c>
    </row>
    <row r="18">
      <c r="B18" s="5">
        <f>IFERROR(ROUND(AVERAGEIFS(性能明细!$D$2:$D$2000,性能明细!$C$2:$C$2000,$A18,性能明细!$O$2:$O$2000,""),1),"")</f>
        <v/>
      </c>
      <c r="C18" s="5" t="n"/>
      <c r="D18" s="5" t="n"/>
      <c r="E18" s="6">
        <f>IFERROR(ROUND(AVERAGEIFS(性能明细!$I$2:$I$2000,性能明细!$C$2:$C$2000,$A18,性能明细!$O$2:$O$2000,""),2),"")</f>
        <v/>
      </c>
      <c r="F18" s="5">
        <f>IFERROR(ROUND(AVERAGEIFS(性能明细!$F$2:$F$2000,性能明细!$C$2:$C$2000,$A18,性能明细!$O$2:$O$2000,""),1),"")</f>
        <v/>
      </c>
      <c r="G18" s="5">
        <f>IFERROR(ROUND(COUNTIFS(性能明细!$C$2:$C$2000,$A18,性能明细!$O$2:$O$2000,"error")/COUNTIF(性能明细!$C$2:$C$2000,$A18)*100,1),"")</f>
        <v/>
      </c>
      <c r="H18" s="5">
        <f>IFERROR(ROUND(COUNTIFS(兼容性明细!$C$2:$C$2000,$A18,兼容性明细!$D$2:$D$2000,"通过")/COUNTIF(兼容性明细!$C$2:$C$2000,$A18)*100,1),"")</f>
        <v/>
      </c>
      <c r="I18" s="5">
        <f>IFERROR(ROUND(COUNTIFS(质量明细!$C$2:$C$2000,$A18,质量明细!$D$2:$D$2000,"通过")/COUNTIF(质量明细!$C$2:$C$2000,$A18)*100,1),"")</f>
        <v/>
      </c>
      <c r="J18" s="5">
        <f>IFERROR(ROUND(COUNTIFS(长上下文明细!$B$2:$B$2000,$A18,长上下文明细!$D$2:$D$2000,"是")/COUNTIFS(长上下文明细!$B$2:$B$2000,$A18,长上下文明细!$D$2:$D$2000,"&lt;&gt;跳过")*100,1),"")</f>
        <v/>
      </c>
    </row>
    <row r="19">
      <c r="B19" s="5">
        <f>IFERROR(ROUND(AVERAGEIFS(性能明细!$D$2:$D$2000,性能明细!$C$2:$C$2000,$A19,性能明细!$O$2:$O$2000,""),1),"")</f>
        <v/>
      </c>
      <c r="C19" s="5" t="n"/>
      <c r="D19" s="5" t="n"/>
      <c r="E19" s="6">
        <f>IFERROR(ROUND(AVERAGEIFS(性能明细!$I$2:$I$2000,性能明细!$C$2:$C$2000,$A19,性能明细!$O$2:$O$2000,""),2),"")</f>
        <v/>
      </c>
      <c r="F19" s="5">
        <f>IFERROR(ROUND(AVERAGEIFS(性能明细!$F$2:$F$2000,性能明细!$C$2:$C$2000,$A19,性能明细!$O$2:$O$2000,""),1),"")</f>
        <v/>
      </c>
      <c r="G19" s="5">
        <f>IFERROR(ROUND(COUNTIFS(性能明细!$C$2:$C$2000,$A19,性能明细!$O$2:$O$2000,"error")/COUNTIF(性能明细!$C$2:$C$2000,$A19)*100,1),"")</f>
        <v/>
      </c>
      <c r="H19" s="5">
        <f>IFERROR(ROUND(COUNTIFS(兼容性明细!$C$2:$C$2000,$A19,兼容性明细!$D$2:$D$2000,"通过")/COUNTIF(兼容性明细!$C$2:$C$2000,$A19)*100,1),"")</f>
        <v/>
      </c>
      <c r="I19" s="5">
        <f>IFERROR(ROUND(COUNTIFS(质量明细!$C$2:$C$2000,$A19,质量明细!$D$2:$D$2000,"通过")/COUNTIF(质量明细!$C$2:$C$2000,$A19)*100,1),"")</f>
        <v/>
      </c>
      <c r="J19" s="5">
        <f>IFERROR(ROUND(COUNTIFS(长上下文明细!$B$2:$B$2000,$A19,长上下文明细!$D$2:$D$2000,"是")/COUNTIFS(长上下文明细!$B$2:$B$2000,$A19,长上下文明细!$D$2:$D$2000,"&lt;&gt;跳过")*100,1),"")</f>
        <v/>
      </c>
    </row>
    <row r="20">
      <c r="B20" s="5">
        <f>IFERROR(ROUND(AVERAGEIFS(性能明细!$D$2:$D$2000,性能明细!$C$2:$C$2000,$A20,性能明细!$O$2:$O$2000,""),1),"")</f>
        <v/>
      </c>
      <c r="C20" s="5" t="n"/>
      <c r="D20" s="5" t="n"/>
      <c r="E20" s="6">
        <f>IFERROR(ROUND(AVERAGEIFS(性能明细!$I$2:$I$2000,性能明细!$C$2:$C$2000,$A20,性能明细!$O$2:$O$2000,""),2),"")</f>
        <v/>
      </c>
      <c r="F20" s="5">
        <f>IFERROR(ROUND(AVERAGEIFS(性能明细!$F$2:$F$2000,性能明细!$C$2:$C$2000,$A20,性能明细!$O$2:$O$2000,""),1),"")</f>
        <v/>
      </c>
      <c r="G20" s="5">
        <f>IFERROR(ROUND(COUNTIFS(性能明细!$C$2:$C$2000,$A20,性能明细!$O$2:$O$2000,"error")/COUNTIF(性能明细!$C$2:$C$2000,$A20)*100,1),"")</f>
        <v/>
      </c>
      <c r="H20" s="5">
        <f>IFERROR(ROUND(COUNTIFS(兼容性明细!$C$2:$C$2000,$A20,兼容性明细!$D$2:$D$2000,"通过")/COUNTIF(兼容性明细!$C$2:$C$2000,$A20)*100,1),"")</f>
        <v/>
      </c>
      <c r="I20" s="5">
        <f>IFERROR(ROUND(COUNTIFS(质量明细!$C$2:$C$2000,$A20,质量明细!$D$2:$D$2000,"通过")/COUNTIF(质量明细!$C$2:$C$2000,$A20)*100,1),"")</f>
        <v/>
      </c>
      <c r="J20" s="5">
        <f>IFERROR(ROUND(COUNTIFS(长上下文明细!$B$2:$B$2000,$A20,长上下文明细!$D$2:$D$2000,"是")/COUNTIFS(长上下文明细!$B$2:$B$2000,$A20,长上下文明细!$D$2:$D$2000,"&lt;&gt;跳过")*100,1),"")</f>
        <v/>
      </c>
    </row>
    <row r="21">
      <c r="B21" s="5">
        <f>IFERROR(ROUND(AVERAGEIFS(性能明细!$D$2:$D$2000,性能明细!$C$2:$C$2000,$A21,性能明细!$O$2:$O$2000,""),1),"")</f>
        <v/>
      </c>
      <c r="C21" s="5" t="n"/>
      <c r="D21" s="5" t="n"/>
      <c r="E21" s="6">
        <f>IFERROR(ROUND(AVERAGEIFS(性能明细!$I$2:$I$2000,性能明细!$C$2:$C$2000,$A21,性能明细!$O$2:$O$2000,""),2),"")</f>
        <v/>
      </c>
      <c r="F21" s="5">
        <f>IFERROR(ROUND(AVERAGEIFS(性能明细!$F$2:$F$2000,性能明细!$C$2:$C$2000,$A21,性能明细!$O$2:$O$2000,""),1),"")</f>
        <v/>
      </c>
      <c r="G21" s="5">
        <f>IFERROR(ROUND(COUNTIFS(性能明细!$C$2:$C$2000,$A21,性能明细!$O$2:$O$2000,"error")/COUNTIF(性能明细!$C$2:$C$2000,$A21)*100,1),"")</f>
        <v/>
      </c>
      <c r="H21" s="5">
        <f>IFERROR(ROUND(COUNTIFS(兼容性明细!$C$2:$C$2000,$A21,兼容性明细!$D$2:$D$2000,"通过")/COUNTIF(兼容性明细!$C$2:$C$2000,$A21)*100,1),"")</f>
        <v/>
      </c>
      <c r="I21" s="5">
        <f>IFERROR(ROUND(COUNTIFS(质量明细!$C$2:$C$2000,$A21,质量明细!$D$2:$D$2000,"通过")/COUNTIF(质量明细!$C$2:$C$2000,$A21)*100,1),"")</f>
        <v/>
      </c>
      <c r="J21" s="5">
        <f>IFERROR(ROUND(COUNTIFS(长上下文明细!$B$2:$B$2000,$A21,长上下文明细!$D$2:$D$2000,"是")/COUNTIFS(长上下文明细!$B$2:$B$2000,$A21,长上下文明细!$D$2:$D$2000,"&lt;&gt;跳过")*100,1),"")</f>
        <v/>
      </c>
    </row>
  </sheetData>
  <conditionalFormatting sqref="B2:B21">
    <cfRule type="colorScale" priority="1">
      <colorScale>
        <cfvo type="num" val="0"/>
        <cfvo type="num" val="1500"/>
        <cfvo type="num" val="40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1" customWidth="1" min="10" max="10"/>
    <col width="11" customWidth="1" min="11" max="11"/>
    <col width="9" customWidth="1" min="12" max="12"/>
    <col width="14" customWidth="1" min="13" max="13"/>
    <col width="12" customWidth="1" min="14" max="14"/>
    <col width="12" customWidth="1" min="15" max="15"/>
    <col width="40" customWidth="1" min="16" max="16"/>
  </cols>
  <sheetData>
    <row r="1">
      <c r="A1" s="4" t="inlineStr">
        <is>
          <t>用例ID</t>
        </is>
      </c>
      <c r="B1" s="4" t="inlineStr">
        <is>
          <t>分类</t>
        </is>
      </c>
      <c r="C1" s="4" t="inlineStr">
        <is>
          <t>模型@渠道</t>
        </is>
      </c>
      <c r="D1" s="4" t="inlineStr">
        <is>
          <t>TTFT(ms)</t>
        </is>
      </c>
      <c r="E1" s="4" t="inlineStr">
        <is>
          <t>内容TTFT(ms)</t>
        </is>
      </c>
      <c r="F1" s="4" t="inlineStr">
        <is>
          <t>E2E(ms)</t>
        </is>
      </c>
      <c r="G1" s="4" t="inlineStr">
        <is>
          <t>生成耗时(ms)</t>
        </is>
      </c>
      <c r="H1" s="4" t="inlineStr">
        <is>
          <t>输出tokens</t>
        </is>
      </c>
      <c r="I1" s="4" t="inlineStr">
        <is>
          <t>速度(tok/s)</t>
        </is>
      </c>
      <c r="J1" s="4" t="inlineStr">
        <is>
          <t>推理tokens</t>
        </is>
      </c>
      <c r="K1" s="4" t="inlineStr">
        <is>
          <t>缓存tokens</t>
        </is>
      </c>
      <c r="L1" s="4" t="inlineStr">
        <is>
          <t>chunk数</t>
        </is>
      </c>
      <c r="M1" s="4" t="inlineStr">
        <is>
          <t>chunk间隔均值(ms)</t>
        </is>
      </c>
      <c r="N1" s="4" t="inlineStr">
        <is>
          <t>chunk间隔std</t>
        </is>
      </c>
      <c r="O1" s="4" t="inlineStr">
        <is>
          <t>错误类型</t>
        </is>
      </c>
      <c r="P1" s="4" t="inlineStr">
        <is>
          <t>错误详情</t>
        </is>
      </c>
    </row>
    <row r="2">
      <c r="A2" s="7" t="inlineStr">
        <is>
          <t>perf_sis_hf_0124</t>
        </is>
      </c>
      <c r="B2" s="7" t="inlineStr">
        <is>
          <t>短输入短输出</t>
        </is>
      </c>
      <c r="C2" s="7" t="inlineStr">
        <is>
          <t>EasyRouter(示例)</t>
        </is>
      </c>
      <c r="D2" s="5" t="n">
        <v>577</v>
      </c>
      <c r="E2" s="5" t="n">
        <v>692</v>
      </c>
      <c r="F2" s="5" t="n">
        <v>614</v>
      </c>
      <c r="G2" s="5" t="n">
        <v>50</v>
      </c>
      <c r="H2" s="8" t="n">
        <v>41</v>
      </c>
      <c r="I2" s="6" t="n">
        <v>820</v>
      </c>
      <c r="J2" s="8" t="n">
        <v>481</v>
      </c>
      <c r="K2" s="8" t="n">
        <v>0</v>
      </c>
      <c r="L2" s="8" t="n">
        <v>22</v>
      </c>
      <c r="M2" s="5" t="n">
        <v>2.3</v>
      </c>
      <c r="N2" s="5" t="n">
        <v>0.9</v>
      </c>
      <c r="O2" s="7" t="n"/>
      <c r="P2" s="7" t="n"/>
    </row>
    <row r="3">
      <c r="A3" s="7" t="inlineStr">
        <is>
          <t>perf_sil_hf_0159</t>
        </is>
      </c>
      <c r="B3" s="7" t="inlineStr">
        <is>
          <t>短输入长输出</t>
        </is>
      </c>
      <c r="C3" s="7" t="inlineStr">
        <is>
          <t>EasyRouter(示例)</t>
        </is>
      </c>
      <c r="D3" s="5" t="n">
        <v>402</v>
      </c>
      <c r="E3" s="5" t="n">
        <v>482</v>
      </c>
      <c r="F3" s="5" t="n">
        <v>10848</v>
      </c>
      <c r="G3" s="5" t="n">
        <v>10446</v>
      </c>
      <c r="H3" s="8" t="n">
        <v>1504</v>
      </c>
      <c r="I3" s="6" t="n">
        <v>143.98</v>
      </c>
      <c r="J3" s="8" t="n">
        <v>632</v>
      </c>
      <c r="K3" s="8" t="n">
        <v>0</v>
      </c>
      <c r="L3" s="8" t="n">
        <v>9</v>
      </c>
      <c r="M3" s="5" t="n">
        <v>1160.7</v>
      </c>
      <c r="N3" s="5" t="n">
        <v>402.6</v>
      </c>
      <c r="O3" s="7" t="n"/>
      <c r="P3" s="7" t="n"/>
    </row>
    <row r="4">
      <c r="A4" s="7" t="inlineStr">
        <is>
          <t>perf_lis_hf_0050</t>
        </is>
      </c>
      <c r="B4" s="7" t="inlineStr">
        <is>
          <t>长输入短输出</t>
        </is>
      </c>
      <c r="C4" s="7" t="inlineStr">
        <is>
          <t>EasyRouter(示例)</t>
        </is>
      </c>
      <c r="D4" s="5" t="n">
        <v>2152</v>
      </c>
      <c r="E4" s="5" t="n">
        <v>2582</v>
      </c>
      <c r="F4" s="5" t="n">
        <v>7139</v>
      </c>
      <c r="G4" s="5" t="n">
        <v>4987</v>
      </c>
      <c r="H4" s="8" t="n">
        <v>79</v>
      </c>
      <c r="I4" s="6" t="n">
        <v>15.84</v>
      </c>
      <c r="J4" s="8" t="n">
        <v>227</v>
      </c>
      <c r="K4" s="8" t="n">
        <v>120</v>
      </c>
      <c r="L4" s="8" t="n">
        <v>20</v>
      </c>
      <c r="M4" s="5" t="n">
        <v>249.3</v>
      </c>
      <c r="N4" s="5" t="n">
        <v>164</v>
      </c>
      <c r="O4" s="7" t="n"/>
      <c r="P4" s="7" t="n"/>
    </row>
    <row r="5">
      <c r="A5" s="7" t="inlineStr">
        <is>
          <t>perf_lil_hf_0051</t>
        </is>
      </c>
      <c r="B5" s="7" t="inlineStr">
        <is>
          <t>长输入长输出</t>
        </is>
      </c>
      <c r="C5" s="7" t="inlineStr">
        <is>
          <t>EasyRouter(示例)</t>
        </is>
      </c>
      <c r="D5" s="5" t="n">
        <v>3732</v>
      </c>
      <c r="E5" s="5" t="n">
        <v>4478</v>
      </c>
      <c r="F5" s="5" t="n">
        <v>25746</v>
      </c>
      <c r="G5" s="5" t="n">
        <v>22014</v>
      </c>
      <c r="H5" s="8" t="n">
        <v>1112</v>
      </c>
      <c r="I5" s="6" t="n">
        <v>50.51</v>
      </c>
      <c r="J5" s="8" t="n">
        <v>659</v>
      </c>
      <c r="K5" s="8" t="n">
        <v>120</v>
      </c>
      <c r="L5" s="8" t="n">
        <v>25</v>
      </c>
      <c r="M5" s="5" t="n">
        <v>880.6</v>
      </c>
      <c r="N5" s="5" t="n">
        <v>620.6</v>
      </c>
      <c r="O5" s="7" t="n"/>
      <c r="P5" s="7" t="n"/>
    </row>
    <row r="6">
      <c r="A6" s="7" t="inlineStr">
        <is>
          <t>perf_sis_hf_0124</t>
        </is>
      </c>
      <c r="B6" s="7" t="inlineStr">
        <is>
          <t>短输入短输出</t>
        </is>
      </c>
      <c r="C6" s="7" t="inlineStr">
        <is>
          <t>Mayi(示例)</t>
        </is>
      </c>
      <c r="D6" s="5" t="n">
        <v>340</v>
      </c>
      <c r="E6" s="5" t="n">
        <v>408</v>
      </c>
      <c r="F6" s="5" t="n">
        <v>1001</v>
      </c>
      <c r="G6" s="5" t="n">
        <v>661</v>
      </c>
      <c r="H6" s="8" t="n">
        <v>84</v>
      </c>
      <c r="I6" s="6" t="n">
        <v>127.08</v>
      </c>
      <c r="J6" s="8" t="n">
        <v>632</v>
      </c>
      <c r="K6" s="8" t="n">
        <v>0</v>
      </c>
      <c r="L6" s="8" t="n">
        <v>25</v>
      </c>
      <c r="M6" s="5" t="n">
        <v>26.4</v>
      </c>
      <c r="N6" s="5" t="n">
        <v>10</v>
      </c>
      <c r="O6" s="7" t="n"/>
      <c r="P6" s="7" t="n"/>
    </row>
    <row r="7">
      <c r="A7" s="7" t="inlineStr">
        <is>
          <t>perf_sil_hf_0159</t>
        </is>
      </c>
      <c r="B7" s="7" t="inlineStr">
        <is>
          <t>短输入长输出</t>
        </is>
      </c>
      <c r="C7" s="7" t="inlineStr">
        <is>
          <t>Mayi(示例)</t>
        </is>
      </c>
      <c r="D7" s="5" t="n">
        <v>816</v>
      </c>
      <c r="E7" s="5" t="n">
        <v>979</v>
      </c>
      <c r="F7" s="5" t="n">
        <v>14149</v>
      </c>
      <c r="G7" s="5" t="n">
        <v>13333</v>
      </c>
      <c r="H7" s="8" t="n">
        <v>994</v>
      </c>
      <c r="I7" s="6" t="n">
        <v>74.55</v>
      </c>
      <c r="J7" s="8" t="n">
        <v>589</v>
      </c>
      <c r="K7" s="8" t="n">
        <v>0</v>
      </c>
      <c r="L7" s="8" t="n">
        <v>30</v>
      </c>
      <c r="M7" s="5" t="n">
        <v>444.4</v>
      </c>
      <c r="N7" s="5" t="n">
        <v>321.6</v>
      </c>
      <c r="O7" s="7" t="n"/>
      <c r="P7" s="7" t="n"/>
    </row>
    <row r="8">
      <c r="A8" s="7" t="inlineStr">
        <is>
          <t>perf_lis_hf_0050</t>
        </is>
      </c>
      <c r="B8" s="7" t="inlineStr">
        <is>
          <t>长输入短输出</t>
        </is>
      </c>
      <c r="C8" s="7" t="inlineStr">
        <is>
          <t>Mayi(示例)</t>
        </is>
      </c>
      <c r="D8" s="5" t="n">
        <v>4092</v>
      </c>
      <c r="E8" s="5" t="n">
        <v>4910</v>
      </c>
      <c r="F8" s="5" t="n">
        <v>6216</v>
      </c>
      <c r="G8" s="5" t="n">
        <v>2124</v>
      </c>
      <c r="H8" s="8" t="n">
        <v>85</v>
      </c>
      <c r="I8" s="6" t="n">
        <v>40.02</v>
      </c>
      <c r="J8" s="8" t="n">
        <v>244</v>
      </c>
      <c r="K8" s="8" t="n">
        <v>120</v>
      </c>
      <c r="L8" s="8" t="n">
        <v>37</v>
      </c>
      <c r="M8" s="5" t="n">
        <v>57.4</v>
      </c>
      <c r="N8" s="5" t="n">
        <v>32.6</v>
      </c>
      <c r="O8" s="7" t="n"/>
      <c r="P8" s="7" t="n"/>
    </row>
    <row r="9">
      <c r="A9" s="7" t="inlineStr">
        <is>
          <t>perf_lil_hf_0051</t>
        </is>
      </c>
      <c r="B9" s="7" t="inlineStr">
        <is>
          <t>长输入长输出</t>
        </is>
      </c>
      <c r="C9" s="7" t="inlineStr">
        <is>
          <t>Mayi(示例)</t>
        </is>
      </c>
      <c r="D9" s="5" t="n">
        <v>3575</v>
      </c>
      <c r="E9" s="5" t="n">
        <v>4290</v>
      </c>
      <c r="F9" s="5" t="n">
        <v>18782</v>
      </c>
      <c r="G9" s="5" t="n">
        <v>15207</v>
      </c>
      <c r="H9" s="8" t="n">
        <v>1282</v>
      </c>
      <c r="I9" s="6" t="n">
        <v>84.3</v>
      </c>
      <c r="J9" s="8" t="n">
        <v>500</v>
      </c>
      <c r="K9" s="8" t="n">
        <v>120</v>
      </c>
      <c r="L9" s="8" t="n">
        <v>31</v>
      </c>
      <c r="M9" s="5" t="n">
        <v>490.5</v>
      </c>
      <c r="N9" s="5" t="n">
        <v>288.7</v>
      </c>
      <c r="O9" s="7" t="n"/>
      <c r="P9" s="7" t="n"/>
    </row>
    <row r="10">
      <c r="A10" s="7" t="inlineStr">
        <is>
          <t>perf_lis_03</t>
        </is>
      </c>
      <c r="B10" s="7" t="inlineStr">
        <is>
          <t>长输入短输出</t>
        </is>
      </c>
      <c r="C10" s="7" t="inlineStr">
        <is>
          <t>Mayi(示例)</t>
        </is>
      </c>
      <c r="D10" s="5" t="n"/>
      <c r="E10" s="5" t="n"/>
      <c r="F10" s="5" t="n"/>
      <c r="G10" s="5" t="n"/>
      <c r="H10" s="8" t="n"/>
      <c r="I10" s="6" t="n"/>
      <c r="J10" s="8" t="n"/>
      <c r="K10" s="8" t="n"/>
      <c r="L10" s="8" t="n"/>
      <c r="M10" s="5" t="n"/>
      <c r="N10" s="5" t="n"/>
      <c r="O10" s="7" t="inlineStr">
        <is>
          <t>timeout</t>
        </is>
      </c>
      <c r="P10" s="7" t="inlineStr">
        <is>
          <t>读超时（&gt;180s）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52" customWidth="1" min="5" max="5"/>
    <col width="11" customWidth="1" min="6" max="6"/>
    <col width="22" customWidth="1" min="7" max="7"/>
  </cols>
  <sheetData>
    <row r="1">
      <c r="A1" s="4" t="inlineStr">
        <is>
          <t>用例ID</t>
        </is>
      </c>
      <c r="B1" s="4" t="inlineStr">
        <is>
          <t>功能点</t>
        </is>
      </c>
      <c r="C1" s="4" t="inlineStr">
        <is>
          <t>模型@渠道</t>
        </is>
      </c>
      <c r="D1" s="4" t="inlineStr">
        <is>
          <t>结果</t>
        </is>
      </c>
      <c r="E1" s="4" t="inlineStr">
        <is>
          <t>失败表现/详情</t>
        </is>
      </c>
      <c r="F1" s="4" t="inlineStr">
        <is>
          <t>输出tokens</t>
        </is>
      </c>
      <c r="G1" s="4" t="inlineStr">
        <is>
          <t>备注</t>
        </is>
      </c>
    </row>
    <row r="2">
      <c r="A2" s="7" t="inlineStr">
        <is>
          <t>cmp_stream_hf</t>
        </is>
      </c>
      <c r="B2" s="7" t="inlineStr">
        <is>
          <t>stream_sse</t>
        </is>
      </c>
      <c r="C2" s="7" t="inlineStr">
        <is>
          <t>EasyRouter(示例)</t>
        </is>
      </c>
      <c r="D2" s="7" t="inlineStr">
        <is>
          <t>通过</t>
        </is>
      </c>
      <c r="E2" s="7" t="n"/>
      <c r="F2" s="8" t="n">
        <v>55</v>
      </c>
      <c r="G2" s="7" t="n"/>
    </row>
    <row r="3">
      <c r="A3" s="7" t="inlineStr">
        <is>
          <t>cmp_tools_hf</t>
        </is>
      </c>
      <c r="B3" s="7" t="inlineStr">
        <is>
          <t>function_calling</t>
        </is>
      </c>
      <c r="C3" s="7" t="inlineStr">
        <is>
          <t>EasyRouter(示例)</t>
        </is>
      </c>
      <c r="D3" s="7" t="inlineStr">
        <is>
          <t>通过</t>
        </is>
      </c>
      <c r="E3" s="7" t="n"/>
      <c r="F3" s="8" t="n">
        <v>43</v>
      </c>
      <c r="G3" s="7" t="n"/>
    </row>
    <row r="4">
      <c r="A4" s="7" t="inlineStr">
        <is>
          <t>cmp_json_hf</t>
        </is>
      </c>
      <c r="B4" s="7" t="inlineStr">
        <is>
          <t>json_mode</t>
        </is>
      </c>
      <c r="C4" s="7" t="inlineStr">
        <is>
          <t>EasyRouter(示例)</t>
        </is>
      </c>
      <c r="D4" s="7" t="inlineStr">
        <is>
          <t>通过</t>
        </is>
      </c>
      <c r="E4" s="7" t="n"/>
      <c r="F4" s="8" t="n">
        <v>136</v>
      </c>
      <c r="G4" s="7" t="n"/>
    </row>
    <row r="5">
      <c r="A5" s="7" t="inlineStr">
        <is>
          <t>cmp_system_hf</t>
        </is>
      </c>
      <c r="B5" s="7" t="inlineStr">
        <is>
          <t>system_prompt</t>
        </is>
      </c>
      <c r="C5" s="7" t="inlineStr">
        <is>
          <t>EasyRouter(示例)</t>
        </is>
      </c>
      <c r="D5" s="7" t="inlineStr">
        <is>
          <t>通过</t>
        </is>
      </c>
      <c r="E5" s="7" t="n"/>
      <c r="F5" s="8" t="n">
        <v>168</v>
      </c>
      <c r="G5" s="7" t="n"/>
    </row>
    <row r="6">
      <c r="A6" s="7" t="inlineStr">
        <is>
          <t>cmp_stop_hf</t>
        </is>
      </c>
      <c r="B6" s="7" t="inlineStr">
        <is>
          <t>stop_param</t>
        </is>
      </c>
      <c r="C6" s="7" t="inlineStr">
        <is>
          <t>EasyRouter(示例)</t>
        </is>
      </c>
      <c r="D6" s="7" t="inlineStr">
        <is>
          <t>通过</t>
        </is>
      </c>
      <c r="E6" s="7" t="n"/>
      <c r="F6" s="8" t="n">
        <v>60</v>
      </c>
      <c r="G6" s="7" t="n"/>
    </row>
    <row r="7">
      <c r="A7" s="7" t="inlineStr">
        <is>
          <t>cmp_stream_hf</t>
        </is>
      </c>
      <c r="B7" s="7" t="inlineStr">
        <is>
          <t>stream_sse</t>
        </is>
      </c>
      <c r="C7" s="7" t="inlineStr">
        <is>
          <t>Mayi(示例)</t>
        </is>
      </c>
      <c r="D7" s="7" t="inlineStr">
        <is>
          <t>通过</t>
        </is>
      </c>
      <c r="E7" s="7" t="n"/>
      <c r="F7" s="8" t="n">
        <v>139</v>
      </c>
      <c r="G7" s="7" t="n"/>
    </row>
    <row r="8">
      <c r="A8" s="7" t="inlineStr">
        <is>
          <t>cmp_tools_hf</t>
        </is>
      </c>
      <c r="B8" s="7" t="inlineStr">
        <is>
          <t>function_calling</t>
        </is>
      </c>
      <c r="C8" s="7" t="inlineStr">
        <is>
          <t>Mayi(示例)</t>
        </is>
      </c>
      <c r="D8" s="7" t="inlineStr">
        <is>
          <t>通过</t>
        </is>
      </c>
      <c r="E8" s="7" t="n"/>
      <c r="F8" s="8" t="n">
        <v>71</v>
      </c>
      <c r="G8" s="7" t="n"/>
    </row>
    <row r="9">
      <c r="A9" s="7" t="inlineStr">
        <is>
          <t>cmp_json_hf</t>
        </is>
      </c>
      <c r="B9" s="7" t="inlineStr">
        <is>
          <t>json_mode</t>
        </is>
      </c>
      <c r="C9" s="7" t="inlineStr">
        <is>
          <t>Mayi(示例)</t>
        </is>
      </c>
      <c r="D9" s="7" t="inlineStr">
        <is>
          <t>通过</t>
        </is>
      </c>
      <c r="E9" s="7" t="n"/>
      <c r="F9" s="8" t="n">
        <v>214</v>
      </c>
      <c r="G9" s="7" t="n"/>
    </row>
    <row r="10">
      <c r="A10" s="7" t="inlineStr">
        <is>
          <t>cmp_system_hf</t>
        </is>
      </c>
      <c r="B10" s="7" t="inlineStr">
        <is>
          <t>system_prompt</t>
        </is>
      </c>
      <c r="C10" s="7" t="inlineStr">
        <is>
          <t>Mayi(示例)</t>
        </is>
      </c>
      <c r="D10" s="7" t="inlineStr">
        <is>
          <t>通过</t>
        </is>
      </c>
      <c r="E10" s="7" t="n"/>
      <c r="F10" s="8" t="n">
        <v>162</v>
      </c>
      <c r="G10" s="7" t="n"/>
    </row>
    <row r="11">
      <c r="A11" s="7" t="inlineStr">
        <is>
          <t>cmp_stop_hf</t>
        </is>
      </c>
      <c r="B11" s="7" t="inlineStr">
        <is>
          <t>stop_param</t>
        </is>
      </c>
      <c r="C11" s="7" t="inlineStr">
        <is>
          <t>Mayi(示例)</t>
        </is>
      </c>
      <c r="D11" s="7" t="inlineStr">
        <is>
          <t>通过</t>
        </is>
      </c>
      <c r="E11" s="7" t="n"/>
      <c r="F11" s="8" t="n">
        <v>252</v>
      </c>
      <c r="G1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22" customWidth="1" min="8" max="8"/>
  </cols>
  <sheetData>
    <row r="1">
      <c r="A1" s="4" t="inlineStr">
        <is>
          <t>用例ID</t>
        </is>
      </c>
      <c r="B1" s="4" t="inlineStr">
        <is>
          <t>分类</t>
        </is>
      </c>
      <c r="C1" s="4" t="inlineStr">
        <is>
          <t>模型@渠道</t>
        </is>
      </c>
      <c r="D1" s="4" t="inlineStr">
        <is>
          <t>结果</t>
        </is>
      </c>
      <c r="E1" s="4" t="inlineStr">
        <is>
          <t>判分详情</t>
        </is>
      </c>
      <c r="F1" s="4" t="inlineStr">
        <is>
          <t>参考答案</t>
        </is>
      </c>
      <c r="G1" s="4" t="inlineStr">
        <is>
          <t>输出摘要</t>
        </is>
      </c>
      <c r="H1" s="4" t="inlineStr">
        <is>
          <t>备注</t>
        </is>
      </c>
    </row>
    <row r="2">
      <c r="A2" s="7" t="inlineStr">
        <is>
          <t>quality_gsm8k_0037</t>
        </is>
      </c>
      <c r="B2" s="7" t="inlineStr">
        <is>
          <t>math</t>
        </is>
      </c>
      <c r="C2" s="7" t="inlineStr">
        <is>
          <t>EasyRouter(示例)</t>
        </is>
      </c>
      <c r="D2" s="7" t="inlineStr">
        <is>
          <t>通过</t>
        </is>
      </c>
      <c r="E2" s="7" t="inlineStr">
        <is>
          <t>judge 命中</t>
        </is>
      </c>
      <c r="F2" s="7" t="inlineStr">
        <is>
          <t>"2"</t>
        </is>
      </c>
      <c r="G2" s="7" t="n"/>
      <c r="H2" s="7" t="n"/>
    </row>
    <row r="3">
      <c r="A3" s="7" t="inlineStr">
        <is>
          <t>quality_gsm8k_0038</t>
        </is>
      </c>
      <c r="B3" s="7" t="inlineStr">
        <is>
          <t>math</t>
        </is>
      </c>
      <c r="C3" s="7" t="inlineStr">
        <is>
          <t>EasyRouter(示例)</t>
        </is>
      </c>
      <c r="D3" s="7" t="inlineStr">
        <is>
          <t>通过</t>
        </is>
      </c>
      <c r="E3" s="7" t="inlineStr">
        <is>
          <t>judge 命中</t>
        </is>
      </c>
      <c r="F3" s="7" t="inlineStr">
        <is>
          <t>"10"</t>
        </is>
      </c>
      <c r="G3" s="7" t="n"/>
      <c r="H3" s="7" t="n"/>
    </row>
    <row r="4">
      <c r="A4" s="7" t="inlineStr">
        <is>
          <t>quality_gsm8k_0039</t>
        </is>
      </c>
      <c r="B4" s="7" t="inlineStr">
        <is>
          <t>math</t>
        </is>
      </c>
      <c r="C4" s="7" t="inlineStr">
        <is>
          <t>EasyRouter(示例)</t>
        </is>
      </c>
      <c r="D4" s="7" t="inlineStr">
        <is>
          <t>通过</t>
        </is>
      </c>
      <c r="E4" s="7" t="inlineStr">
        <is>
          <t>judge 命中</t>
        </is>
      </c>
      <c r="F4" s="7" t="inlineStr">
        <is>
          <t>"18"</t>
        </is>
      </c>
      <c r="G4" s="7" t="n"/>
      <c r="H4" s="7" t="n"/>
    </row>
    <row r="5">
      <c r="A5" s="7" t="inlineStr">
        <is>
          <t>quality_truthfulqa_0035</t>
        </is>
      </c>
      <c r="B5" s="7" t="inlineStr">
        <is>
          <t>hallucination</t>
        </is>
      </c>
      <c r="C5" s="7" t="inlineStr">
        <is>
          <t>EasyRouter(示例)</t>
        </is>
      </c>
      <c r="D5" s="7" t="inlineStr">
        <is>
          <t>通过</t>
        </is>
      </c>
      <c r="E5" s="7" t="inlineStr">
        <is>
          <t>judge 命中</t>
        </is>
      </c>
      <c r="F5" s="7" t="inlineStr">
        <is>
          <t>"B"</t>
        </is>
      </c>
      <c r="G5" s="7" t="n"/>
      <c r="H5" s="7" t="n"/>
    </row>
    <row r="6">
      <c r="A6" s="7" t="inlineStr">
        <is>
          <t>quality_truthfulqa_0036</t>
        </is>
      </c>
      <c r="B6" s="7" t="inlineStr">
        <is>
          <t>hallucination</t>
        </is>
      </c>
      <c r="C6" s="7" t="inlineStr">
        <is>
          <t>EasyRouter(示例)</t>
        </is>
      </c>
      <c r="D6" s="7" t="inlineStr">
        <is>
          <t>通过</t>
        </is>
      </c>
      <c r="E6" s="7" t="inlineStr">
        <is>
          <t>judge 命中</t>
        </is>
      </c>
      <c r="F6" s="7" t="inlineStr">
        <is>
          <t>"B"</t>
        </is>
      </c>
      <c r="G6" s="7" t="n"/>
      <c r="H6" s="7" t="n"/>
    </row>
    <row r="7">
      <c r="A7" s="7" t="inlineStr">
        <is>
          <t>quality_truthfulqa_0037</t>
        </is>
      </c>
      <c r="B7" s="7" t="inlineStr">
        <is>
          <t>hallucination</t>
        </is>
      </c>
      <c r="C7" s="7" t="inlineStr">
        <is>
          <t>EasyRouter(示例)</t>
        </is>
      </c>
      <c r="D7" s="7" t="inlineStr">
        <is>
          <t>通过</t>
        </is>
      </c>
      <c r="E7" s="7" t="inlineStr">
        <is>
          <t>judge 命中</t>
        </is>
      </c>
      <c r="F7" s="7" t="inlineStr">
        <is>
          <t>"B"</t>
        </is>
      </c>
      <c r="G7" s="7" t="n"/>
      <c r="H7" s="7" t="n"/>
    </row>
    <row r="8">
      <c r="A8" s="7" t="inlineStr">
        <is>
          <t>quality_mmlu_cs_0015</t>
        </is>
      </c>
      <c r="B8" s="7" t="inlineStr">
        <is>
          <t>reasoning</t>
        </is>
      </c>
      <c r="C8" s="7" t="inlineStr">
        <is>
          <t>EasyRouter(示例)</t>
        </is>
      </c>
      <c r="D8" s="7" t="inlineStr">
        <is>
          <t>通过</t>
        </is>
      </c>
      <c r="E8" s="7" t="inlineStr">
        <is>
          <t>judge 命中</t>
        </is>
      </c>
      <c r="F8" s="7" t="inlineStr">
        <is>
          <t>"A"</t>
        </is>
      </c>
      <c r="G8" s="7" t="n"/>
      <c r="H8" s="7" t="n"/>
    </row>
    <row r="9">
      <c r="A9" s="7" t="inlineStr">
        <is>
          <t>quality_mmlu_logic_0015</t>
        </is>
      </c>
      <c r="B9" s="7" t="inlineStr">
        <is>
          <t>reasoning</t>
        </is>
      </c>
      <c r="C9" s="7" t="inlineStr">
        <is>
          <t>EasyRouter(示例)</t>
        </is>
      </c>
      <c r="D9" s="7" t="inlineStr">
        <is>
          <t>通过</t>
        </is>
      </c>
      <c r="E9" s="7" t="inlineStr">
        <is>
          <t>judge 命中</t>
        </is>
      </c>
      <c r="F9" s="7" t="inlineStr">
        <is>
          <t>"C"</t>
        </is>
      </c>
      <c r="G9" s="7" t="n"/>
      <c r="H9" s="7" t="n"/>
    </row>
    <row r="10">
      <c r="A10" s="7" t="inlineStr">
        <is>
          <t>quality_gsm8k_0037</t>
        </is>
      </c>
      <c r="B10" s="7" t="inlineStr">
        <is>
          <t>math</t>
        </is>
      </c>
      <c r="C10" s="7" t="inlineStr">
        <is>
          <t>Mayi(示例)</t>
        </is>
      </c>
      <c r="D10" s="7" t="inlineStr">
        <is>
          <t>失败</t>
        </is>
      </c>
      <c r="E10" s="7" t="inlineStr">
        <is>
          <t>judge 未命中</t>
        </is>
      </c>
      <c r="F10" s="7" t="inlineStr">
        <is>
          <t>"2"</t>
        </is>
      </c>
      <c r="G10" s="7" t="n"/>
      <c r="H10" s="7" t="n"/>
    </row>
    <row r="11">
      <c r="A11" s="7" t="inlineStr">
        <is>
          <t>quality_gsm8k_0038</t>
        </is>
      </c>
      <c r="B11" s="7" t="inlineStr">
        <is>
          <t>math</t>
        </is>
      </c>
      <c r="C11" s="7" t="inlineStr">
        <is>
          <t>Mayi(示例)</t>
        </is>
      </c>
      <c r="D11" s="7" t="inlineStr">
        <is>
          <t>通过</t>
        </is>
      </c>
      <c r="E11" s="7" t="inlineStr">
        <is>
          <t>judge 命中</t>
        </is>
      </c>
      <c r="F11" s="7" t="inlineStr">
        <is>
          <t>"10"</t>
        </is>
      </c>
      <c r="G11" s="7" t="n"/>
      <c r="H11" s="7" t="n"/>
    </row>
    <row r="12">
      <c r="A12" s="7" t="inlineStr">
        <is>
          <t>quality_gsm8k_0039</t>
        </is>
      </c>
      <c r="B12" s="7" t="inlineStr">
        <is>
          <t>math</t>
        </is>
      </c>
      <c r="C12" s="7" t="inlineStr">
        <is>
          <t>Mayi(示例)</t>
        </is>
      </c>
      <c r="D12" s="7" t="inlineStr">
        <is>
          <t>通过</t>
        </is>
      </c>
      <c r="E12" s="7" t="inlineStr">
        <is>
          <t>judge 命中</t>
        </is>
      </c>
      <c r="F12" s="7" t="inlineStr">
        <is>
          <t>"18"</t>
        </is>
      </c>
      <c r="G12" s="7" t="n"/>
      <c r="H12" s="7" t="n"/>
    </row>
    <row r="13">
      <c r="A13" s="7" t="inlineStr">
        <is>
          <t>quality_truthfulqa_0035</t>
        </is>
      </c>
      <c r="B13" s="7" t="inlineStr">
        <is>
          <t>hallucination</t>
        </is>
      </c>
      <c r="C13" s="7" t="inlineStr">
        <is>
          <t>Mayi(示例)</t>
        </is>
      </c>
      <c r="D13" s="7" t="inlineStr">
        <is>
          <t>通过</t>
        </is>
      </c>
      <c r="E13" s="7" t="inlineStr">
        <is>
          <t>judge 命中</t>
        </is>
      </c>
      <c r="F13" s="7" t="inlineStr">
        <is>
          <t>"B"</t>
        </is>
      </c>
      <c r="G13" s="7" t="n"/>
      <c r="H13" s="7" t="n"/>
    </row>
    <row r="14">
      <c r="A14" s="7" t="inlineStr">
        <is>
          <t>quality_truthfulqa_0036</t>
        </is>
      </c>
      <c r="B14" s="7" t="inlineStr">
        <is>
          <t>hallucination</t>
        </is>
      </c>
      <c r="C14" s="7" t="inlineStr">
        <is>
          <t>Mayi(示例)</t>
        </is>
      </c>
      <c r="D14" s="7" t="inlineStr">
        <is>
          <t>失败</t>
        </is>
      </c>
      <c r="E14" s="7" t="inlineStr">
        <is>
          <t>judge 未命中</t>
        </is>
      </c>
      <c r="F14" s="7" t="inlineStr">
        <is>
          <t>"B"</t>
        </is>
      </c>
      <c r="G14" s="7" t="n"/>
      <c r="H14" s="7" t="n"/>
    </row>
    <row r="15">
      <c r="A15" s="7" t="inlineStr">
        <is>
          <t>quality_truthfulqa_0037</t>
        </is>
      </c>
      <c r="B15" s="7" t="inlineStr">
        <is>
          <t>hallucination</t>
        </is>
      </c>
      <c r="C15" s="7" t="inlineStr">
        <is>
          <t>Mayi(示例)</t>
        </is>
      </c>
      <c r="D15" s="7" t="inlineStr">
        <is>
          <t>通过</t>
        </is>
      </c>
      <c r="E15" s="7" t="inlineStr">
        <is>
          <t>judge 命中</t>
        </is>
      </c>
      <c r="F15" s="7" t="inlineStr">
        <is>
          <t>"B"</t>
        </is>
      </c>
      <c r="G15" s="7" t="n"/>
      <c r="H15" s="7" t="n"/>
    </row>
    <row r="16">
      <c r="A16" s="7" t="inlineStr">
        <is>
          <t>quality_mmlu_cs_0015</t>
        </is>
      </c>
      <c r="B16" s="7" t="inlineStr">
        <is>
          <t>reasoning</t>
        </is>
      </c>
      <c r="C16" s="7" t="inlineStr">
        <is>
          <t>Mayi(示例)</t>
        </is>
      </c>
      <c r="D16" s="7" t="inlineStr">
        <is>
          <t>通过</t>
        </is>
      </c>
      <c r="E16" s="7" t="inlineStr">
        <is>
          <t>judge 命中</t>
        </is>
      </c>
      <c r="F16" s="7" t="inlineStr">
        <is>
          <t>"A"</t>
        </is>
      </c>
      <c r="G16" s="7" t="n"/>
      <c r="H16" s="7" t="n"/>
    </row>
    <row r="17">
      <c r="A17" s="7" t="inlineStr">
        <is>
          <t>quality_mmlu_logic_0015</t>
        </is>
      </c>
      <c r="B17" s="7" t="inlineStr">
        <is>
          <t>reasoning</t>
        </is>
      </c>
      <c r="C17" s="7" t="inlineStr">
        <is>
          <t>Mayi(示例)</t>
        </is>
      </c>
      <c r="D17" s="7" t="inlineStr">
        <is>
          <t>通过</t>
        </is>
      </c>
      <c r="E17" s="7" t="inlineStr">
        <is>
          <t>judge 命中</t>
        </is>
      </c>
      <c r="F17" s="7" t="inlineStr">
        <is>
          <t>"C"</t>
        </is>
      </c>
      <c r="G17" s="7" t="n"/>
      <c r="H17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0" customWidth="1" min="4" max="4"/>
    <col width="9" customWidth="1" min="5" max="5"/>
    <col width="30" customWidth="1" min="6" max="6"/>
    <col width="11" customWidth="1" min="7" max="7"/>
    <col width="28" customWidth="1" min="8" max="8"/>
  </cols>
  <sheetData>
    <row r="1">
      <c r="A1" s="4" t="inlineStr">
        <is>
          <t>用例ID</t>
        </is>
      </c>
      <c r="B1" s="4" t="inlineStr">
        <is>
          <t>模型@渠道</t>
        </is>
      </c>
      <c r="C1" s="4" t="inlineStr">
        <is>
          <t>梯度(tokens)</t>
        </is>
      </c>
      <c r="D1" s="4" t="inlineStr">
        <is>
          <t>检索成功</t>
        </is>
      </c>
      <c r="E1" s="4" t="inlineStr">
        <is>
          <t>针位置</t>
        </is>
      </c>
      <c r="F1" s="4" t="inlineStr">
        <is>
          <t>答案摘要</t>
        </is>
      </c>
      <c r="G1" s="4" t="inlineStr">
        <is>
          <t>输出tokens</t>
        </is>
      </c>
      <c r="H1" s="4" t="inlineStr">
        <is>
          <t>备注</t>
        </is>
      </c>
    </row>
    <row r="2">
      <c r="A2" s="7" t="inlineStr">
        <is>
          <t>lc_needle_10k</t>
        </is>
      </c>
      <c r="B2" s="7" t="inlineStr">
        <is>
          <t>EasyRouter(示例)</t>
        </is>
      </c>
      <c r="C2" s="8" t="n">
        <v>10000</v>
      </c>
      <c r="D2" s="7" t="inlineStr">
        <is>
          <t>是</t>
        </is>
      </c>
      <c r="E2" s="6" t="n">
        <v>0.25</v>
      </c>
      <c r="F2" s="7" t="inlineStr">
        <is>
          <t>抽奖码（检索成功）</t>
        </is>
      </c>
      <c r="G2" s="8" t="n">
        <v>24</v>
      </c>
      <c r="H2" s="7" t="n"/>
    </row>
    <row r="3">
      <c r="A3" s="7" t="inlineStr">
        <is>
          <t>lc_needle_64k</t>
        </is>
      </c>
      <c r="B3" s="7" t="inlineStr">
        <is>
          <t>EasyRouter(示例)</t>
        </is>
      </c>
      <c r="C3" s="8" t="n">
        <v>64000</v>
      </c>
      <c r="D3" s="7" t="inlineStr">
        <is>
          <t>是</t>
        </is>
      </c>
      <c r="E3" s="6" t="n">
        <v>0.75</v>
      </c>
      <c r="F3" s="7" t="inlineStr">
        <is>
          <t>抽奖码（检索成功）</t>
        </is>
      </c>
      <c r="G3" s="8" t="n">
        <v>24</v>
      </c>
      <c r="H3" s="7" t="n"/>
    </row>
    <row r="4">
      <c r="A4" s="7" t="inlineStr">
        <is>
          <t>lc_needle_128k</t>
        </is>
      </c>
      <c r="B4" s="7" t="inlineStr">
        <is>
          <t>EasyRouter(示例)</t>
        </is>
      </c>
      <c r="C4" s="8" t="n">
        <v>128000</v>
      </c>
      <c r="D4" s="7" t="inlineStr">
        <is>
          <t>是</t>
        </is>
      </c>
      <c r="E4" s="6" t="n">
        <v>0.5</v>
      </c>
      <c r="F4" s="7" t="inlineStr">
        <is>
          <t>抽奖码（检索成功）</t>
        </is>
      </c>
      <c r="G4" s="8" t="n">
        <v>24</v>
      </c>
      <c r="H4" s="7" t="n"/>
    </row>
    <row r="5">
      <c r="A5" s="7" t="inlineStr">
        <is>
          <t>lc_needle_10k</t>
        </is>
      </c>
      <c r="B5" s="7" t="inlineStr">
        <is>
          <t>Mayi(示例)</t>
        </is>
      </c>
      <c r="C5" s="8" t="n">
        <v>10000</v>
      </c>
      <c r="D5" s="7" t="inlineStr">
        <is>
          <t>是</t>
        </is>
      </c>
      <c r="E5" s="6" t="n">
        <v>0.25</v>
      </c>
      <c r="F5" s="7" t="inlineStr">
        <is>
          <t>抽奖码（检索成功）</t>
        </is>
      </c>
      <c r="G5" s="8" t="n">
        <v>24</v>
      </c>
      <c r="H5" s="7" t="n"/>
    </row>
    <row r="6">
      <c r="A6" s="7" t="inlineStr">
        <is>
          <t>lc_needle_64k</t>
        </is>
      </c>
      <c r="B6" s="7" t="inlineStr">
        <is>
          <t>Mayi(示例)</t>
        </is>
      </c>
      <c r="C6" s="8" t="n">
        <v>64000</v>
      </c>
      <c r="D6" s="7" t="inlineStr">
        <is>
          <t>否</t>
        </is>
      </c>
      <c r="E6" s="6" t="n">
        <v>0.75</v>
      </c>
      <c r="F6" s="7" t="inlineStr">
        <is>
          <t>（未命中）</t>
        </is>
      </c>
      <c r="G6" s="8" t="n">
        <v>24</v>
      </c>
      <c r="H6" s="7" t="inlineStr">
        <is>
          <t>未检索到</t>
        </is>
      </c>
    </row>
    <row r="7">
      <c r="A7" s="7" t="inlineStr">
        <is>
          <t>lc_needle_128k</t>
        </is>
      </c>
      <c r="B7" s="7" t="inlineStr">
        <is>
          <t>Mayi(示例)</t>
        </is>
      </c>
      <c r="C7" s="8" t="n">
        <v>128000</v>
      </c>
      <c r="D7" s="7" t="inlineStr">
        <is>
          <t>跳过</t>
        </is>
      </c>
      <c r="E7" s="6" t="n">
        <v>0.5</v>
      </c>
      <c r="F7" s="7" t="inlineStr">
        <is>
          <t>（未命中）</t>
        </is>
      </c>
      <c r="G7" s="8" t="n">
        <v>24</v>
      </c>
      <c r="H7" s="7" t="inlineStr">
        <is>
          <t>超出标称上下文（64K）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</cols>
  <sheetData>
    <row r="1">
      <c r="A1" s="4" t="inlineStr">
        <is>
          <t>模型@渠道</t>
        </is>
      </c>
      <c r="B1" s="4" t="inlineStr">
        <is>
          <t>TTFT得分</t>
        </is>
      </c>
      <c r="C1" s="4" t="inlineStr">
        <is>
          <t>速度得分</t>
        </is>
      </c>
      <c r="D1" s="4" t="inlineStr">
        <is>
          <t>E2E得分</t>
        </is>
      </c>
      <c r="E1" s="4" t="inlineStr">
        <is>
          <t>性能得分</t>
        </is>
      </c>
      <c r="F1" s="4" t="inlineStr">
        <is>
          <t>兼容得分</t>
        </is>
      </c>
      <c r="G1" s="4" t="inlineStr">
        <is>
          <t>质量得分</t>
        </is>
      </c>
      <c r="H1" s="4" t="inlineStr">
        <is>
          <t>长上下文得分</t>
        </is>
      </c>
      <c r="I1" s="4" t="inlineStr">
        <is>
          <t>总评分</t>
        </is>
      </c>
      <c r="J1" s="4" t="inlineStr">
        <is>
          <t>排名</t>
        </is>
      </c>
      <c r="L1" s="9" t="inlineStr">
        <is>
          <t>权重区（可修改）↓</t>
        </is>
      </c>
    </row>
    <row r="2">
      <c r="A2" t="inlineStr">
        <is>
          <t>EasyRouter(示例)</t>
        </is>
      </c>
      <c r="B2" s="5">
        <f>IFERROR(ROUND(100*MIN(汇总表!$B$2:$B$21)/汇总表!B2,1),"")</f>
        <v/>
      </c>
      <c r="C2" s="5">
        <f>IFERROR(ROUND(100*汇总表!E2/MAX(汇总表!$E$2:$E$21),1),"")</f>
        <v/>
      </c>
      <c r="D2" s="5">
        <f>IFERROR(ROUND(100*MIN(汇总表!$F$2:$F$21)/汇总表!F2,1),"")</f>
        <v/>
      </c>
      <c r="E2" s="5">
        <f>IFERROR(ROUND(AVERAGE(B2:D2),1),"")</f>
        <v/>
      </c>
      <c r="F2" s="5">
        <f>IFERROR(ROUND(汇总表!H2,1),"")</f>
        <v/>
      </c>
      <c r="G2" s="5">
        <f>IFERROR(ROUND(汇总表!I2,1),"")</f>
        <v/>
      </c>
      <c r="H2" s="5">
        <f>IFERROR(ROUND(汇总表!J2,1),"")</f>
        <v/>
      </c>
      <c r="I2" s="5">
        <f>IF(OR(ISNUMBER(E2),ISNUMBER(F2),ISNUMBER(G2),ISNUMBER(H2)),ROUND(IFERROR(E2,0)*$M$2+IFERROR(F2,0)*$M$3+IFERROR(G2,0)*$M$4+IFERROR(H2,0)*$M$5,1),"")</f>
        <v/>
      </c>
      <c r="J2" s="8">
        <f>IF(ISNUMBER(I2),RANK(I2,$I$2:$I$21),"")</f>
        <v/>
      </c>
      <c r="L2" s="10" t="inlineStr">
        <is>
          <t>性能权重</t>
        </is>
      </c>
      <c r="M2" s="5" t="n">
        <v>0.3</v>
      </c>
    </row>
    <row r="3">
      <c r="A3" t="inlineStr">
        <is>
          <t>Mayi(示例)</t>
        </is>
      </c>
      <c r="B3" s="5">
        <f>IFERROR(ROUND(100*MIN(汇总表!$B$2:$B$21)/汇总表!B3,1),"")</f>
        <v/>
      </c>
      <c r="C3" s="5">
        <f>IFERROR(ROUND(100*汇总表!E3/MAX(汇总表!$E$2:$E$21),1),"")</f>
        <v/>
      </c>
      <c r="D3" s="5">
        <f>IFERROR(ROUND(100*MIN(汇总表!$F$2:$F$21)/汇总表!F3,1),"")</f>
        <v/>
      </c>
      <c r="E3" s="5">
        <f>IFERROR(ROUND(AVERAGE(B3:D3),1),"")</f>
        <v/>
      </c>
      <c r="F3" s="5">
        <f>IFERROR(ROUND(汇总表!H3,1),"")</f>
        <v/>
      </c>
      <c r="G3" s="5">
        <f>IFERROR(ROUND(汇总表!I3,1),"")</f>
        <v/>
      </c>
      <c r="H3" s="5">
        <f>IFERROR(ROUND(汇总表!J3,1),"")</f>
        <v/>
      </c>
      <c r="I3" s="5">
        <f>IF(OR(ISNUMBER(E3),ISNUMBER(F3),ISNUMBER(G3),ISNUMBER(H3)),ROUND(IFERROR(E3,0)*$M$2+IFERROR(F3,0)*$M$3+IFERROR(G3,0)*$M$4+IFERROR(H3,0)*$M$5,1),"")</f>
        <v/>
      </c>
      <c r="J3" s="8">
        <f>IF(ISNUMBER(I3),RANK(I3,$I$2:$I$21),"")</f>
        <v/>
      </c>
      <c r="L3" s="10" t="inlineStr">
        <is>
          <t>兼容权重</t>
        </is>
      </c>
      <c r="M3" s="5" t="n">
        <v>0.2</v>
      </c>
    </row>
    <row r="4">
      <c r="B4" s="5">
        <f>IFERROR(ROUND(100*MIN(汇总表!$B$2:$B$21)/汇总表!B4,1),"")</f>
        <v/>
      </c>
      <c r="C4" s="5">
        <f>IFERROR(ROUND(100*汇总表!E4/MAX(汇总表!$E$2:$E$21),1),"")</f>
        <v/>
      </c>
      <c r="D4" s="5">
        <f>IFERROR(ROUND(100*MIN(汇总表!$F$2:$F$21)/汇总表!F4,1),"")</f>
        <v/>
      </c>
      <c r="E4" s="5">
        <f>IFERROR(ROUND(AVERAGE(B4:D4),1),"")</f>
        <v/>
      </c>
      <c r="F4" s="5">
        <f>IFERROR(ROUND(汇总表!H4,1),"")</f>
        <v/>
      </c>
      <c r="G4" s="5">
        <f>IFERROR(ROUND(汇总表!I4,1),"")</f>
        <v/>
      </c>
      <c r="H4" s="5">
        <f>IFERROR(ROUND(汇总表!J4,1),"")</f>
        <v/>
      </c>
      <c r="I4" s="5">
        <f>IF(OR(ISNUMBER(E4),ISNUMBER(F4),ISNUMBER(G4),ISNUMBER(H4)),ROUND(IFERROR(E4,0)*$M$2+IFERROR(F4,0)*$M$3+IFERROR(G4,0)*$M$4+IFERROR(H4,0)*$M$5,1),"")</f>
        <v/>
      </c>
      <c r="J4" s="8">
        <f>IF(ISNUMBER(I4),RANK(I4,$I$2:$I$21),"")</f>
        <v/>
      </c>
      <c r="L4" s="10" t="inlineStr">
        <is>
          <t>质量权重</t>
        </is>
      </c>
      <c r="M4" s="5" t="n">
        <v>0.3</v>
      </c>
    </row>
    <row r="5">
      <c r="B5" s="5">
        <f>IFERROR(ROUND(100*MIN(汇总表!$B$2:$B$21)/汇总表!B5,1),"")</f>
        <v/>
      </c>
      <c r="C5" s="5">
        <f>IFERROR(ROUND(100*汇总表!E5/MAX(汇总表!$E$2:$E$21),1),"")</f>
        <v/>
      </c>
      <c r="D5" s="5">
        <f>IFERROR(ROUND(100*MIN(汇总表!$F$2:$F$21)/汇总表!F5,1),"")</f>
        <v/>
      </c>
      <c r="E5" s="5">
        <f>IFERROR(ROUND(AVERAGE(B5:D5),1),"")</f>
        <v/>
      </c>
      <c r="F5" s="5">
        <f>IFERROR(ROUND(汇总表!H5,1),"")</f>
        <v/>
      </c>
      <c r="G5" s="5">
        <f>IFERROR(ROUND(汇总表!I5,1),"")</f>
        <v/>
      </c>
      <c r="H5" s="5">
        <f>IFERROR(ROUND(汇总表!J5,1),"")</f>
        <v/>
      </c>
      <c r="I5" s="5">
        <f>IF(OR(ISNUMBER(E5),ISNUMBER(F5),ISNUMBER(G5),ISNUMBER(H5)),ROUND(IFERROR(E5,0)*$M$2+IFERROR(F5,0)*$M$3+IFERROR(G5,0)*$M$4+IFERROR(H5,0)*$M$5,1),"")</f>
        <v/>
      </c>
      <c r="J5" s="8">
        <f>IF(ISNUMBER(I5),RANK(I5,$I$2:$I$21),"")</f>
        <v/>
      </c>
      <c r="L5" s="10" t="inlineStr">
        <is>
          <t>长上下文权重</t>
        </is>
      </c>
      <c r="M5" s="5" t="n">
        <v>0.2</v>
      </c>
    </row>
    <row r="6">
      <c r="B6" s="5">
        <f>IFERROR(ROUND(100*MIN(汇总表!$B$2:$B$21)/汇总表!B6,1),"")</f>
        <v/>
      </c>
      <c r="C6" s="5">
        <f>IFERROR(ROUND(100*汇总表!E6/MAX(汇总表!$E$2:$E$21),1),"")</f>
        <v/>
      </c>
      <c r="D6" s="5">
        <f>IFERROR(ROUND(100*MIN(汇总表!$F$2:$F$21)/汇总表!F6,1),"")</f>
        <v/>
      </c>
      <c r="E6" s="5">
        <f>IFERROR(ROUND(AVERAGE(B6:D6),1),"")</f>
        <v/>
      </c>
      <c r="F6" s="5">
        <f>IFERROR(ROUND(汇总表!H6,1),"")</f>
        <v/>
      </c>
      <c r="G6" s="5">
        <f>IFERROR(ROUND(汇总表!I6,1),"")</f>
        <v/>
      </c>
      <c r="H6" s="5">
        <f>IFERROR(ROUND(汇总表!J6,1),"")</f>
        <v/>
      </c>
      <c r="I6" s="5">
        <f>IF(OR(ISNUMBER(E6),ISNUMBER(F6),ISNUMBER(G6),ISNUMBER(H6)),ROUND(IFERROR(E6,0)*$M$2+IFERROR(F6,0)*$M$3+IFERROR(G6,0)*$M$4+IFERROR(H6,0)*$M$5,1),"")</f>
        <v/>
      </c>
      <c r="J6" s="8">
        <f>IF(ISNUMBER(I6),RANK(I6,$I$2:$I$21),"")</f>
        <v/>
      </c>
    </row>
    <row r="7">
      <c r="B7" s="5">
        <f>IFERROR(ROUND(100*MIN(汇总表!$B$2:$B$21)/汇总表!B7,1),"")</f>
        <v/>
      </c>
      <c r="C7" s="5">
        <f>IFERROR(ROUND(100*汇总表!E7/MAX(汇总表!$E$2:$E$21),1),"")</f>
        <v/>
      </c>
      <c r="D7" s="5">
        <f>IFERROR(ROUND(100*MIN(汇总表!$F$2:$F$21)/汇总表!F7,1),"")</f>
        <v/>
      </c>
      <c r="E7" s="5">
        <f>IFERROR(ROUND(AVERAGE(B7:D7),1),"")</f>
        <v/>
      </c>
      <c r="F7" s="5">
        <f>IFERROR(ROUND(汇总表!H7,1),"")</f>
        <v/>
      </c>
      <c r="G7" s="5">
        <f>IFERROR(ROUND(汇总表!I7,1),"")</f>
        <v/>
      </c>
      <c r="H7" s="5">
        <f>IFERROR(ROUND(汇总表!J7,1),"")</f>
        <v/>
      </c>
      <c r="I7" s="5">
        <f>IF(OR(ISNUMBER(E7),ISNUMBER(F7),ISNUMBER(G7),ISNUMBER(H7)),ROUND(IFERROR(E7,0)*$M$2+IFERROR(F7,0)*$M$3+IFERROR(G7,0)*$M$4+IFERROR(H7,0)*$M$5,1),"")</f>
        <v/>
      </c>
      <c r="J7" s="8">
        <f>IF(ISNUMBER(I7),RANK(I7,$I$2:$I$21),"")</f>
        <v/>
      </c>
    </row>
    <row r="8">
      <c r="B8" s="5">
        <f>IFERROR(ROUND(100*MIN(汇总表!$B$2:$B$21)/汇总表!B8,1),"")</f>
        <v/>
      </c>
      <c r="C8" s="5">
        <f>IFERROR(ROUND(100*汇总表!E8/MAX(汇总表!$E$2:$E$21),1),"")</f>
        <v/>
      </c>
      <c r="D8" s="5">
        <f>IFERROR(ROUND(100*MIN(汇总表!$F$2:$F$21)/汇总表!F8,1),"")</f>
        <v/>
      </c>
      <c r="E8" s="5">
        <f>IFERROR(ROUND(AVERAGE(B8:D8),1),"")</f>
        <v/>
      </c>
      <c r="F8" s="5">
        <f>IFERROR(ROUND(汇总表!H8,1),"")</f>
        <v/>
      </c>
      <c r="G8" s="5">
        <f>IFERROR(ROUND(汇总表!I8,1),"")</f>
        <v/>
      </c>
      <c r="H8" s="5">
        <f>IFERROR(ROUND(汇总表!J8,1),"")</f>
        <v/>
      </c>
      <c r="I8" s="5">
        <f>IF(OR(ISNUMBER(E8),ISNUMBER(F8),ISNUMBER(G8),ISNUMBER(H8)),ROUND(IFERROR(E8,0)*$M$2+IFERROR(F8,0)*$M$3+IFERROR(G8,0)*$M$4+IFERROR(H8,0)*$M$5,1),"")</f>
        <v/>
      </c>
      <c r="J8" s="8">
        <f>IF(ISNUMBER(I8),RANK(I8,$I$2:$I$21),"")</f>
        <v/>
      </c>
    </row>
    <row r="9">
      <c r="B9" s="5">
        <f>IFERROR(ROUND(100*MIN(汇总表!$B$2:$B$21)/汇总表!B9,1),"")</f>
        <v/>
      </c>
      <c r="C9" s="5">
        <f>IFERROR(ROUND(100*汇总表!E9/MAX(汇总表!$E$2:$E$21),1),"")</f>
        <v/>
      </c>
      <c r="D9" s="5">
        <f>IFERROR(ROUND(100*MIN(汇总表!$F$2:$F$21)/汇总表!F9,1),"")</f>
        <v/>
      </c>
      <c r="E9" s="5">
        <f>IFERROR(ROUND(AVERAGE(B9:D9),1),"")</f>
        <v/>
      </c>
      <c r="F9" s="5">
        <f>IFERROR(ROUND(汇总表!H9,1),"")</f>
        <v/>
      </c>
      <c r="G9" s="5">
        <f>IFERROR(ROUND(汇总表!I9,1),"")</f>
        <v/>
      </c>
      <c r="H9" s="5">
        <f>IFERROR(ROUND(汇总表!J9,1),"")</f>
        <v/>
      </c>
      <c r="I9" s="5">
        <f>IF(OR(ISNUMBER(E9),ISNUMBER(F9),ISNUMBER(G9),ISNUMBER(H9)),ROUND(IFERROR(E9,0)*$M$2+IFERROR(F9,0)*$M$3+IFERROR(G9,0)*$M$4+IFERROR(H9,0)*$M$5,1),"")</f>
        <v/>
      </c>
      <c r="J9" s="8">
        <f>IF(ISNUMBER(I9),RANK(I9,$I$2:$I$21),"")</f>
        <v/>
      </c>
    </row>
    <row r="10">
      <c r="B10" s="5">
        <f>IFERROR(ROUND(100*MIN(汇总表!$B$2:$B$21)/汇总表!B10,1),"")</f>
        <v/>
      </c>
      <c r="C10" s="5">
        <f>IFERROR(ROUND(100*汇总表!E10/MAX(汇总表!$E$2:$E$21),1),"")</f>
        <v/>
      </c>
      <c r="D10" s="5">
        <f>IFERROR(ROUND(100*MIN(汇总表!$F$2:$F$21)/汇总表!F10,1),"")</f>
        <v/>
      </c>
      <c r="E10" s="5">
        <f>IFERROR(ROUND(AVERAGE(B10:D10),1),"")</f>
        <v/>
      </c>
      <c r="F10" s="5">
        <f>IFERROR(ROUND(汇总表!H10,1),"")</f>
        <v/>
      </c>
      <c r="G10" s="5">
        <f>IFERROR(ROUND(汇总表!I10,1),"")</f>
        <v/>
      </c>
      <c r="H10" s="5">
        <f>IFERROR(ROUND(汇总表!J10,1),"")</f>
        <v/>
      </c>
      <c r="I10" s="5">
        <f>IF(OR(ISNUMBER(E10),ISNUMBER(F10),ISNUMBER(G10),ISNUMBER(H10)),ROUND(IFERROR(E10,0)*$M$2+IFERROR(F10,0)*$M$3+IFERROR(G10,0)*$M$4+IFERROR(H10,0)*$M$5,1),"")</f>
        <v/>
      </c>
      <c r="J10" s="8">
        <f>IF(ISNUMBER(I10),RANK(I10,$I$2:$I$21),"")</f>
        <v/>
      </c>
    </row>
    <row r="11">
      <c r="B11" s="5">
        <f>IFERROR(ROUND(100*MIN(汇总表!$B$2:$B$21)/汇总表!B11,1),"")</f>
        <v/>
      </c>
      <c r="C11" s="5">
        <f>IFERROR(ROUND(100*汇总表!E11/MAX(汇总表!$E$2:$E$21),1),"")</f>
        <v/>
      </c>
      <c r="D11" s="5">
        <f>IFERROR(ROUND(100*MIN(汇总表!$F$2:$F$21)/汇总表!F11,1),"")</f>
        <v/>
      </c>
      <c r="E11" s="5">
        <f>IFERROR(ROUND(AVERAGE(B11:D11),1),"")</f>
        <v/>
      </c>
      <c r="F11" s="5">
        <f>IFERROR(ROUND(汇总表!H11,1),"")</f>
        <v/>
      </c>
      <c r="G11" s="5">
        <f>IFERROR(ROUND(汇总表!I11,1),"")</f>
        <v/>
      </c>
      <c r="H11" s="5">
        <f>IFERROR(ROUND(汇总表!J11,1),"")</f>
        <v/>
      </c>
      <c r="I11" s="5">
        <f>IF(OR(ISNUMBER(E11),ISNUMBER(F11),ISNUMBER(G11),ISNUMBER(H11)),ROUND(IFERROR(E11,0)*$M$2+IFERROR(F11,0)*$M$3+IFERROR(G11,0)*$M$4+IFERROR(H11,0)*$M$5,1),"")</f>
        <v/>
      </c>
      <c r="J11" s="8">
        <f>IF(ISNUMBER(I11),RANK(I11,$I$2:$I$21),"")</f>
        <v/>
      </c>
    </row>
    <row r="12">
      <c r="B12" s="5">
        <f>IFERROR(ROUND(100*MIN(汇总表!$B$2:$B$21)/汇总表!B12,1),"")</f>
        <v/>
      </c>
      <c r="C12" s="5">
        <f>IFERROR(ROUND(100*汇总表!E12/MAX(汇总表!$E$2:$E$21),1),"")</f>
        <v/>
      </c>
      <c r="D12" s="5">
        <f>IFERROR(ROUND(100*MIN(汇总表!$F$2:$F$21)/汇总表!F12,1),"")</f>
        <v/>
      </c>
      <c r="E12" s="5">
        <f>IFERROR(ROUND(AVERAGE(B12:D12),1),"")</f>
        <v/>
      </c>
      <c r="F12" s="5">
        <f>IFERROR(ROUND(汇总表!H12,1),"")</f>
        <v/>
      </c>
      <c r="G12" s="5">
        <f>IFERROR(ROUND(汇总表!I12,1),"")</f>
        <v/>
      </c>
      <c r="H12" s="5">
        <f>IFERROR(ROUND(汇总表!J12,1),"")</f>
        <v/>
      </c>
      <c r="I12" s="5">
        <f>IF(OR(ISNUMBER(E12),ISNUMBER(F12),ISNUMBER(G12),ISNUMBER(H12)),ROUND(IFERROR(E12,0)*$M$2+IFERROR(F12,0)*$M$3+IFERROR(G12,0)*$M$4+IFERROR(H12,0)*$M$5,1),"")</f>
        <v/>
      </c>
      <c r="J12" s="8">
        <f>IF(ISNUMBER(I12),RANK(I12,$I$2:$I$21),"")</f>
        <v/>
      </c>
    </row>
    <row r="13">
      <c r="B13" s="5">
        <f>IFERROR(ROUND(100*MIN(汇总表!$B$2:$B$21)/汇总表!B13,1),"")</f>
        <v/>
      </c>
      <c r="C13" s="5">
        <f>IFERROR(ROUND(100*汇总表!E13/MAX(汇总表!$E$2:$E$21),1),"")</f>
        <v/>
      </c>
      <c r="D13" s="5">
        <f>IFERROR(ROUND(100*MIN(汇总表!$F$2:$F$21)/汇总表!F13,1),"")</f>
        <v/>
      </c>
      <c r="E13" s="5">
        <f>IFERROR(ROUND(AVERAGE(B13:D13),1),"")</f>
        <v/>
      </c>
      <c r="F13" s="5">
        <f>IFERROR(ROUND(汇总表!H13,1),"")</f>
        <v/>
      </c>
      <c r="G13" s="5">
        <f>IFERROR(ROUND(汇总表!I13,1),"")</f>
        <v/>
      </c>
      <c r="H13" s="5">
        <f>IFERROR(ROUND(汇总表!J13,1),"")</f>
        <v/>
      </c>
      <c r="I13" s="5">
        <f>IF(OR(ISNUMBER(E13),ISNUMBER(F13),ISNUMBER(G13),ISNUMBER(H13)),ROUND(IFERROR(E13,0)*$M$2+IFERROR(F13,0)*$M$3+IFERROR(G13,0)*$M$4+IFERROR(H13,0)*$M$5,1),"")</f>
        <v/>
      </c>
      <c r="J13" s="8">
        <f>IF(ISNUMBER(I13),RANK(I13,$I$2:$I$21),"")</f>
        <v/>
      </c>
    </row>
    <row r="14">
      <c r="B14" s="5">
        <f>IFERROR(ROUND(100*MIN(汇总表!$B$2:$B$21)/汇总表!B14,1),"")</f>
        <v/>
      </c>
      <c r="C14" s="5">
        <f>IFERROR(ROUND(100*汇总表!E14/MAX(汇总表!$E$2:$E$21),1),"")</f>
        <v/>
      </c>
      <c r="D14" s="5">
        <f>IFERROR(ROUND(100*MIN(汇总表!$F$2:$F$21)/汇总表!F14,1),"")</f>
        <v/>
      </c>
      <c r="E14" s="5">
        <f>IFERROR(ROUND(AVERAGE(B14:D14),1),"")</f>
        <v/>
      </c>
      <c r="F14" s="5">
        <f>IFERROR(ROUND(汇总表!H14,1),"")</f>
        <v/>
      </c>
      <c r="G14" s="5">
        <f>IFERROR(ROUND(汇总表!I14,1),"")</f>
        <v/>
      </c>
      <c r="H14" s="5">
        <f>IFERROR(ROUND(汇总表!J14,1),"")</f>
        <v/>
      </c>
      <c r="I14" s="5">
        <f>IF(OR(ISNUMBER(E14),ISNUMBER(F14),ISNUMBER(G14),ISNUMBER(H14)),ROUND(IFERROR(E14,0)*$M$2+IFERROR(F14,0)*$M$3+IFERROR(G14,0)*$M$4+IFERROR(H14,0)*$M$5,1),"")</f>
        <v/>
      </c>
      <c r="J14" s="8">
        <f>IF(ISNUMBER(I14),RANK(I14,$I$2:$I$21),"")</f>
        <v/>
      </c>
    </row>
    <row r="15">
      <c r="B15" s="5">
        <f>IFERROR(ROUND(100*MIN(汇总表!$B$2:$B$21)/汇总表!B15,1),"")</f>
        <v/>
      </c>
      <c r="C15" s="5">
        <f>IFERROR(ROUND(100*汇总表!E15/MAX(汇总表!$E$2:$E$21),1),"")</f>
        <v/>
      </c>
      <c r="D15" s="5">
        <f>IFERROR(ROUND(100*MIN(汇总表!$F$2:$F$21)/汇总表!F15,1),"")</f>
        <v/>
      </c>
      <c r="E15" s="5">
        <f>IFERROR(ROUND(AVERAGE(B15:D15),1),"")</f>
        <v/>
      </c>
      <c r="F15" s="5">
        <f>IFERROR(ROUND(汇总表!H15,1),"")</f>
        <v/>
      </c>
      <c r="G15" s="5">
        <f>IFERROR(ROUND(汇总表!I15,1),"")</f>
        <v/>
      </c>
      <c r="H15" s="5">
        <f>IFERROR(ROUND(汇总表!J15,1),"")</f>
        <v/>
      </c>
      <c r="I15" s="5">
        <f>IF(OR(ISNUMBER(E15),ISNUMBER(F15),ISNUMBER(G15),ISNUMBER(H15)),ROUND(IFERROR(E15,0)*$M$2+IFERROR(F15,0)*$M$3+IFERROR(G15,0)*$M$4+IFERROR(H15,0)*$M$5,1),"")</f>
        <v/>
      </c>
      <c r="J15" s="8">
        <f>IF(ISNUMBER(I15),RANK(I15,$I$2:$I$21),"")</f>
        <v/>
      </c>
    </row>
    <row r="16">
      <c r="B16" s="5">
        <f>IFERROR(ROUND(100*MIN(汇总表!$B$2:$B$21)/汇总表!B16,1),"")</f>
        <v/>
      </c>
      <c r="C16" s="5">
        <f>IFERROR(ROUND(100*汇总表!E16/MAX(汇总表!$E$2:$E$21),1),"")</f>
        <v/>
      </c>
      <c r="D16" s="5">
        <f>IFERROR(ROUND(100*MIN(汇总表!$F$2:$F$21)/汇总表!F16,1),"")</f>
        <v/>
      </c>
      <c r="E16" s="5">
        <f>IFERROR(ROUND(AVERAGE(B16:D16),1),"")</f>
        <v/>
      </c>
      <c r="F16" s="5">
        <f>IFERROR(ROUND(汇总表!H16,1),"")</f>
        <v/>
      </c>
      <c r="G16" s="5">
        <f>IFERROR(ROUND(汇总表!I16,1),"")</f>
        <v/>
      </c>
      <c r="H16" s="5">
        <f>IFERROR(ROUND(汇总表!J16,1),"")</f>
        <v/>
      </c>
      <c r="I16" s="5">
        <f>IF(OR(ISNUMBER(E16),ISNUMBER(F16),ISNUMBER(G16),ISNUMBER(H16)),ROUND(IFERROR(E16,0)*$M$2+IFERROR(F16,0)*$M$3+IFERROR(G16,0)*$M$4+IFERROR(H16,0)*$M$5,1),"")</f>
        <v/>
      </c>
      <c r="J16" s="8">
        <f>IF(ISNUMBER(I16),RANK(I16,$I$2:$I$21),"")</f>
        <v/>
      </c>
    </row>
    <row r="17">
      <c r="B17" s="5">
        <f>IFERROR(ROUND(100*MIN(汇总表!$B$2:$B$21)/汇总表!B17,1),"")</f>
        <v/>
      </c>
      <c r="C17" s="5">
        <f>IFERROR(ROUND(100*汇总表!E17/MAX(汇总表!$E$2:$E$21),1),"")</f>
        <v/>
      </c>
      <c r="D17" s="5">
        <f>IFERROR(ROUND(100*MIN(汇总表!$F$2:$F$21)/汇总表!F17,1),"")</f>
        <v/>
      </c>
      <c r="E17" s="5">
        <f>IFERROR(ROUND(AVERAGE(B17:D17),1),"")</f>
        <v/>
      </c>
      <c r="F17" s="5">
        <f>IFERROR(ROUND(汇总表!H17,1),"")</f>
        <v/>
      </c>
      <c r="G17" s="5">
        <f>IFERROR(ROUND(汇总表!I17,1),"")</f>
        <v/>
      </c>
      <c r="H17" s="5">
        <f>IFERROR(ROUND(汇总表!J17,1),"")</f>
        <v/>
      </c>
      <c r="I17" s="5">
        <f>IF(OR(ISNUMBER(E17),ISNUMBER(F17),ISNUMBER(G17),ISNUMBER(H17)),ROUND(IFERROR(E17,0)*$M$2+IFERROR(F17,0)*$M$3+IFERROR(G17,0)*$M$4+IFERROR(H17,0)*$M$5,1),"")</f>
        <v/>
      </c>
      <c r="J17" s="8">
        <f>IF(ISNUMBER(I17),RANK(I17,$I$2:$I$21),"")</f>
        <v/>
      </c>
    </row>
    <row r="18">
      <c r="B18" s="5">
        <f>IFERROR(ROUND(100*MIN(汇总表!$B$2:$B$21)/汇总表!B18,1),"")</f>
        <v/>
      </c>
      <c r="C18" s="5">
        <f>IFERROR(ROUND(100*汇总表!E18/MAX(汇总表!$E$2:$E$21),1),"")</f>
        <v/>
      </c>
      <c r="D18" s="5">
        <f>IFERROR(ROUND(100*MIN(汇总表!$F$2:$F$21)/汇总表!F18,1),"")</f>
        <v/>
      </c>
      <c r="E18" s="5">
        <f>IFERROR(ROUND(AVERAGE(B18:D18),1),"")</f>
        <v/>
      </c>
      <c r="F18" s="5">
        <f>IFERROR(ROUND(汇总表!H18,1),"")</f>
        <v/>
      </c>
      <c r="G18" s="5">
        <f>IFERROR(ROUND(汇总表!I18,1),"")</f>
        <v/>
      </c>
      <c r="H18" s="5">
        <f>IFERROR(ROUND(汇总表!J18,1),"")</f>
        <v/>
      </c>
      <c r="I18" s="5">
        <f>IF(OR(ISNUMBER(E18),ISNUMBER(F18),ISNUMBER(G18),ISNUMBER(H18)),ROUND(IFERROR(E18,0)*$M$2+IFERROR(F18,0)*$M$3+IFERROR(G18,0)*$M$4+IFERROR(H18,0)*$M$5,1),"")</f>
        <v/>
      </c>
      <c r="J18" s="8">
        <f>IF(ISNUMBER(I18),RANK(I18,$I$2:$I$21),"")</f>
        <v/>
      </c>
    </row>
    <row r="19">
      <c r="B19" s="5">
        <f>IFERROR(ROUND(100*MIN(汇总表!$B$2:$B$21)/汇总表!B19,1),"")</f>
        <v/>
      </c>
      <c r="C19" s="5">
        <f>IFERROR(ROUND(100*汇总表!E19/MAX(汇总表!$E$2:$E$21),1),"")</f>
        <v/>
      </c>
      <c r="D19" s="5">
        <f>IFERROR(ROUND(100*MIN(汇总表!$F$2:$F$21)/汇总表!F19,1),"")</f>
        <v/>
      </c>
      <c r="E19" s="5">
        <f>IFERROR(ROUND(AVERAGE(B19:D19),1),"")</f>
        <v/>
      </c>
      <c r="F19" s="5">
        <f>IFERROR(ROUND(汇总表!H19,1),"")</f>
        <v/>
      </c>
      <c r="G19" s="5">
        <f>IFERROR(ROUND(汇总表!I19,1),"")</f>
        <v/>
      </c>
      <c r="H19" s="5">
        <f>IFERROR(ROUND(汇总表!J19,1),"")</f>
        <v/>
      </c>
      <c r="I19" s="5">
        <f>IF(OR(ISNUMBER(E19),ISNUMBER(F19),ISNUMBER(G19),ISNUMBER(H19)),ROUND(IFERROR(E19,0)*$M$2+IFERROR(F19,0)*$M$3+IFERROR(G19,0)*$M$4+IFERROR(H19,0)*$M$5,1),"")</f>
        <v/>
      </c>
      <c r="J19" s="8">
        <f>IF(ISNUMBER(I19),RANK(I19,$I$2:$I$21),"")</f>
        <v/>
      </c>
    </row>
    <row r="20">
      <c r="B20" s="5">
        <f>IFERROR(ROUND(100*MIN(汇总表!$B$2:$B$21)/汇总表!B20,1),"")</f>
        <v/>
      </c>
      <c r="C20" s="5">
        <f>IFERROR(ROUND(100*汇总表!E20/MAX(汇总表!$E$2:$E$21),1),"")</f>
        <v/>
      </c>
      <c r="D20" s="5">
        <f>IFERROR(ROUND(100*MIN(汇总表!$F$2:$F$21)/汇总表!F20,1),"")</f>
        <v/>
      </c>
      <c r="E20" s="5">
        <f>IFERROR(ROUND(AVERAGE(B20:D20),1),"")</f>
        <v/>
      </c>
      <c r="F20" s="5">
        <f>IFERROR(ROUND(汇总表!H20,1),"")</f>
        <v/>
      </c>
      <c r="G20" s="5">
        <f>IFERROR(ROUND(汇总表!I20,1),"")</f>
        <v/>
      </c>
      <c r="H20" s="5">
        <f>IFERROR(ROUND(汇总表!J20,1),"")</f>
        <v/>
      </c>
      <c r="I20" s="5">
        <f>IF(OR(ISNUMBER(E20),ISNUMBER(F20),ISNUMBER(G20),ISNUMBER(H20)),ROUND(IFERROR(E20,0)*$M$2+IFERROR(F20,0)*$M$3+IFERROR(G20,0)*$M$4+IFERROR(H20,0)*$M$5,1),"")</f>
        <v/>
      </c>
      <c r="J20" s="8">
        <f>IF(ISNUMBER(I20),RANK(I20,$I$2:$I$21),"")</f>
        <v/>
      </c>
    </row>
    <row r="21">
      <c r="B21" s="5">
        <f>IFERROR(ROUND(100*MIN(汇总表!$B$2:$B$21)/汇总表!B21,1),"")</f>
        <v/>
      </c>
      <c r="C21" s="5">
        <f>IFERROR(ROUND(100*汇总表!E21/MAX(汇总表!$E$2:$E$21),1),"")</f>
        <v/>
      </c>
      <c r="D21" s="5">
        <f>IFERROR(ROUND(100*MIN(汇总表!$F$2:$F$21)/汇总表!F21,1),"")</f>
        <v/>
      </c>
      <c r="E21" s="5">
        <f>IFERROR(ROUND(AVERAGE(B21:D21),1),"")</f>
        <v/>
      </c>
      <c r="F21" s="5">
        <f>IFERROR(ROUND(汇总表!H21,1),"")</f>
        <v/>
      </c>
      <c r="G21" s="5">
        <f>IFERROR(ROUND(汇总表!I21,1),"")</f>
        <v/>
      </c>
      <c r="H21" s="5">
        <f>IFERROR(ROUND(汇总表!J21,1),"")</f>
        <v/>
      </c>
      <c r="I21" s="5">
        <f>IF(OR(ISNUMBER(E21),ISNUMBER(F21),ISNUMBER(G21),ISNUMBER(H21)),ROUND(IFERROR(E21,0)*$M$2+IFERROR(F21,0)*$M$3+IFERROR(G21,0)*$M$4+IFERROR(H21,0)*$M$5,1),"")</f>
        <v/>
      </c>
      <c r="J21" s="8">
        <f>IF(ISNUMBER(I21),RANK(I21,$I$2:$I$21),"")</f>
        <v/>
      </c>
    </row>
  </sheetData>
  <conditionalFormatting sqref="I2:I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2026-10-20T03:51:40Z</dcterms:created>
  <dcterms:modified xmlns:dcterms="http://purl.org/dc/terms/" xmlns:xsi="http://www.w3.org/2001/XMLSchema-instance" xsi:type="dcterms:W3CDTF">2026-10-20T03:51:40Z</dcterms:modified>
</cp:coreProperties>
</file>